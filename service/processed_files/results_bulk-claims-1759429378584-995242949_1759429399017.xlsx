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FormData" state="visible" r:id="rId4"/>
  </sheets>
  <calcPr calcId="171027"/>
</workbook>
</file>

<file path=xl/sharedStrings.xml><?xml version="1.0" encoding="utf-8"?>
<sst xmlns="http://schemas.openxmlformats.org/spreadsheetml/2006/main" count="430" uniqueCount="115">
  <si>
    <t>title</t>
  </si>
  <si>
    <t>test</t>
  </si>
  <si>
    <t>patientId</t>
  </si>
  <si>
    <t>patientName</t>
  </si>
  <si>
    <t>patientGender</t>
  </si>
  <si>
    <t>patientBirthDate</t>
  </si>
  <si>
    <t>patientIdentifiersID</t>
  </si>
  <si>
    <t>providerFID</t>
  </si>
  <si>
    <t>providerName</t>
  </si>
  <si>
    <t>providerLevel</t>
  </si>
  <si>
    <t>providerIdentifiersSlade</t>
  </si>
  <si>
    <t>providerActive</t>
  </si>
  <si>
    <t>use</t>
  </si>
  <si>
    <t>claimSubType</t>
  </si>
  <si>
    <t>productOrServiceCode</t>
  </si>
  <si>
    <t>productOrServiceInterventionName</t>
  </si>
  <si>
    <t>productOrServiceQuantity</t>
  </si>
  <si>
    <t>productOrServiceUnitPrice</t>
  </si>
  <si>
    <t>productOrServiceNetValue</t>
  </si>
  <si>
    <t>productOrServiceServicePeriodStart</t>
  </si>
  <si>
    <t>productOrServiceServicePeriodEnd</t>
  </si>
  <si>
    <t>productOrServiceSequence</t>
  </si>
  <si>
    <t>billablePeriodStart</t>
  </si>
  <si>
    <t>billablePeriodEnd</t>
  </si>
  <si>
    <t>CreateDate</t>
  </si>
  <si>
    <t>totalValue</t>
  </si>
  <si>
    <t>currency</t>
  </si>
  <si>
    <t>Processing Status</t>
  </si>
  <si>
    <t>Claim ID</t>
  </si>
  <si>
    <t>Response Data</t>
  </si>
  <si>
    <t>Error Message</t>
  </si>
  <si>
    <t>Processed At</t>
  </si>
  <si>
    <t>Bulk submit</t>
  </si>
  <si>
    <t>bulk</t>
  </si>
  <si>
    <t>CR6283693344046-0</t>
  </si>
  <si>
    <t>ESTHER MWENDE KIMULI</t>
  </si>
  <si>
    <t>female</t>
  </si>
  <si>
    <t>FID-22-115390-3</t>
  </si>
  <si>
    <t>THIKA COUNTY REFERRAL HOSPITAL</t>
  </si>
  <si>
    <t>LEVEL 5</t>
  </si>
  <si>
    <t>preauth-claim</t>
  </si>
  <si>
    <t>ip</t>
  </si>
  <si>
    <t>SHA-06-022</t>
  </si>
  <si>
    <t>Chemotherapy medicines</t>
  </si>
  <si>
    <t>2025-09-19</t>
  </si>
  <si>
    <t>2025-09-20</t>
  </si>
  <si>
    <t>KES</t>
  </si>
  <si>
    <t>success</t>
  </si>
  <si>
    <t>7bd322fe-274a-4a9b-85a1-f204fbf50037</t>
  </si>
  <si>
    <t>{"resourceType":"Bundle","id":"7bd322fe-274a-4a9b-85a1-f204fbf50037","meta":{"profile":["https://qa-mis.apeiro-digital.com/fhir/StructureDefinition/bundle|1.0.0"]},"type":"message","timestamp":"2025-10-02T18:23:08.665Z","entry":[{"fullUrl":"https://qa-mis.apeiro-digital.com/fhir/Coverage/CR6283693344046-0-sha-coverage","resource":{"resourceType":"Coverage","id":"CR6283693344046-0-sha-coverage","extension":[{"url":"undefined/schemeCategoryCode","valueString":"CAT-SHA-001"},{"url":"undefined/schemeCategoryName","valueString":"SOCIAL HEALTH AUTHORITY"}],"identifier":[{"use":"official","value":"CR6283693344046-0-sha-coverage"}],"status":"active","beneficiary":{"reference":"https://qa-mis.apeiro-digital.com/fhir/Patient/CR6283693344046-0","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6283693344046-0","resource":{"resourceType":"Patient","id":"CR6283693344046-0","meta":{"profile":["https://qa-mis.apeiro-digital.com/fhir/StructureDefinition/patient|1.0.0"]},"identifier":[{"use":"official","system":"https://qa-mis.apeiro-digital.com/fhir/identifier/shanumber","value":"CR6283693344046-0"},{"use":"official","system":"https://qa-mis.apeiro-digital.com/fhir/identifier/phonenumber","value":"CR6283693344046-0"},{"use":"official","system":"https://qa-mis.apeiro-digital.com/fhir/identifier/nationalid","value":"CR6283693344046-0"},{"use":"official","system":"https://qa-mis.apeiro-digital.com/fhir/identifier/other","value":"CR6283693344046-0"}],"name":[{"text":"ESTHER MWENDE KIMULI","family":"KIMULI","given":["ESTHER","MWENDE"]}],"gender":"female","birthDate":"1990-08-22"}},{"fullUrl":"https://qa-mis.apeiro-digital.com/fhir/Claim/f4baf6d7-0e4b-442c-b12d-afc58d5357cd","resource":{"resourceType":"Claim","id":"b2d6ffe8-5b6e-4906-873f-82b22cfd0fd8","extension":[{"url":"https://qa-mis.apeiro-digital.com/fhir/StructureDefinition/extension-patientInvoice","extension":[{"url":"invoiceNumber","valueString":"FUKVC34"},{"url":"invoiceDate","valueDate":"2025-09-01"},{"url":"invoiceAmount","valueMoney":{"value":0,"currency":"KES"}},{"url":"https://qa-mis.apeiro-digital.com/fhir/StructureDefinition/extension-patient-share","valueMoney":{"value":0,"currency":"KES"}},{"url":"https://qa-mis.apeiro-digital.com/fhir/StructureDefinition/extension-patientInvoiceIdentifier","valueIdentifier":{"system":"https://qa-mis.apeiro-digital.com/fhir/identifier/patientInvoice","value":"CR6283693344046-0-invoice-1b4cb953-c669-4a99-9686-02d0512df1ec"}}]}],"identifier":[{"system":"https://qa-mis.apeiro-digital.com/fhir/claim","value":"6a9f0818-a46c-4bd5-9e64-4ec7321e5ef9"}],"status":"active","type":{"coding":[{"system":"http://terminology.hl7.org/CodeSystem/claim-type","code":"institutional"}]},"subType":{"coding":[{"system":"http://terminology.hl7.org/CodeSystem/ex-claimsubtype","code":"ip"}]},"use":"claim","patient":{"reference":"https://qa-mis.apeiro-digital.com/fhir/Patient/CR6283693344046-0"},"billablePeriod":{"start":"2025-10-02T10:40:22+03:00","end":"2025-10-02T10:40:22+03:00"},"created":"2025-09-01","provider":{"reference":"https://qa-mis.apeiro-digital.com/fhir/Organization/FID-22-115390-3"},"priority":{"coding":[{"system":"http://terminology.hl7.org/CodeSystem/processpriority","code":"normal"}]},"related":[{"claim":{"identifier":{"system":"https://qa-mis.apeiro-digital.com/fhir/claim","value":"9fbe6f4a-7257-4a38-9f69-72a7acef3de7"}},"relationship":{"coding":[{"system":"https://qa-mis.apeiro-digital.com/fhir/CodeSystem/claim-relation-type","code":"pre-auth"}],"text":"Preauthorization"}}],"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disease"}]}}],"item":[{"sequence":1,"productOrService":{"coding":[{"system":"https://qa-mis.apeiro-digital.com/fhir/CodeSystem/intervention-codes","code":"SHA-06-022","display":"Chemotherapy medicines"}]},"servicedPeriod":{"start":"2025-10-02","end":"2025-10-02"},"quantity":{"value":1},"unitPrice":{"value":0,"currency":"KES"},"factor":1,"net":{"value":0,"currency":"KES"}}],"total":{"value":0,"currency":"KES"}}},{"resource":{"resourceType":"ClaimResponse","id":"3b9713c2-56cf-4b76-9c84-6bc0efa721d8","extension":[{"url":"https://qa-mis.apeiro-digital.com/fhir/StructureDefinition/claim-state-extension","valueCodeableConcept":{"coding":[{"system":"https://qa-mis.apeiro-digital.com/fhir/CodeSystem/claim-state","code":"pending","display":"Pending"}]}}],"status":"active","use":"claim","request":{"reference":"Claim/b2d6ffe8-5b6e-4906-873f-82b22cfd0fd8"},"outcome":"queued"}}]}</t>
  </si>
  <si>
    <t/>
  </si>
  <si>
    <t>2025-10-02T18:23:19.016Z</t>
  </si>
  <si>
    <t>CR1441605621081-5</t>
  </si>
  <si>
    <t>ALICE KARAMBU</t>
  </si>
  <si>
    <t>male</t>
  </si>
  <si>
    <t>b7b1bc59-d066-4cf8-b515-58f4e25e1054</t>
  </si>
  <si>
    <t>{"resourceType":"Bundle","id":"b7b1bc59-d066-4cf8-b515-58f4e25e1054","meta":{"profile":["https://qa-mis.apeiro-digital.com/fhir/StructureDefinition/bundle|1.0.0"]},"type":"message","timestamp":"2025-10-02T18:23:08.165Z","entry":[{"fullUrl":"https://qa-mis.apeiro-digital.com/fhir/Coverage/CR1441605621081-5-sha-coverage","resource":{"resourceType":"Coverage","id":"CR1441605621081-5-sha-coverage","extension":[{"url":"undefined/schemeCategoryCode","valueString":"CAT-SHA-001"},{"url":"undefined/schemeCategoryName","valueString":"SOCIAL HEALTH AUTHORITY"}],"identifier":[{"use":"official","value":"CR1441605621081-5-sha-coverage"}],"status":"active","beneficiary":{"reference":"https://qa-mis.apeiro-digital.com/fhir/Patient/CR1441605621081-5","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1441605621081-5","resource":{"resourceType":"Patient","id":"CR1441605621081-5","meta":{"profile":["https://qa-mis.apeiro-digital.com/fhir/StructureDefinition/patient|1.0.0"]},"identifier":[{"use":"official","system":"https://qa-mis.apeiro-digital.com/fhir/identifier/shanumber","value":"CR1441605621081-5"},{"use":"official","system":"https://qa-mis.apeiro-digital.com/fhir/identifier/phonenumber","value":"CR1441605621081-5"},{"use":"official","system":"https://qa-mis.apeiro-digital.com/fhir/identifier/nationalid","value":"CR1441605621081-5"},{"use":"official","system":"https://qa-mis.apeiro-digital.com/fhir/identifier/other","value":"CR1441605621081-5"}],"name":[{"text":"ALICE KARAMBU","family":"KARAMBU","given":["ALICE"]}],"gender":"male","birthDate":"2012-12-13"}},{"fullUrl":"https://qa-mis.apeiro-digital.com/fhir/Claim/4b66148b-7e41-4f0c-8a9a-869145ae54cb","resource":{"resourceType":"Claim","id":"df5de1bc-15ac-44cc-a3cc-08ac2b5b7720","extension":[{"url":"https://qa-mis.apeiro-digital.com/fhir/StructureDefinition/extension-patientInvoice","extension":[{"url":"invoiceNumber","valueString":"FUKVC34"},{"url":"invoiceDate","valueDate":"2025-09-01"},{"url":"invoiceAmount","valueMoney":{"value":0,"currency":"KES"}},{"url":"https://qa-mis.apeiro-digital.com/fhir/StructureDefinition/extension-patient-share","valueMoney":{"value":0,"currency":"KES"}},{"url":"https://qa-mis.apeiro-digital.com/fhir/StructureDefinition/extension-patientInvoiceIdentifier","valueIdentifier":{"system":"https://qa-mis.apeiro-digital.com/fhir/identifier/patientInvoice","value":"CR1441605621081-5-invoice-9346a9d0-ce73-46de-b74f-f7fe22a5e23a"}}]}],"identifier":[{"system":"https://qa-mis.apeiro-digital.com/fhir/claim","value":"be8622b4-9c29-43ec-af09-4ef03474be49"}],"status":"active","type":{"coding":[{"system":"http://terminology.hl7.org/CodeSystem/claim-type","code":"institutional"}]},"subType":{"coding":[{"system":"http://terminology.hl7.org/CodeSystem/ex-claimsubtype","code":"ip"}]},"use":"claim","patient":{"reference":"https://qa-mis.apeiro-digital.com/fhir/Patient/CR1441605621081-5"},"billablePeriod":{"start":"2025-10-02T10:40:22+03:00","end":"2025-10-02T10:40:22+03:00"},"created":"2025-09-01","provider":{"reference":"https://qa-mis.apeiro-digital.com/fhir/Organization/FID-22-115390-3"},"priority":{"coding":[{"system":"http://terminology.hl7.org/CodeSystem/processpriority","code":"normal"}]},"related":[{"claim":{"identifier":{"system":"https://qa-mis.apeiro-digital.com/fhir/claim","value":"01d307ab-8d11-4d83-8423-f02aeb94877b"}},"relationship":{"coding":[{"system":"https://qa-mis.apeiro-digital.com/fhir/CodeSystem/claim-relation-type","code":"pre-auth"}],"text":"Preauthorization"}}],"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disease"}]}}],"item":[{"sequence":1,"productOrService":{"coding":[{"system":"https://qa-mis.apeiro-digital.com/fhir/CodeSystem/intervention-codes","code":"SHA-06-022","display":"Chemotherapy medicines"}]},"servicedPeriod":{"start":"2025-10-02","end":"2025-10-02"},"quantity":{"value":1},"unitPrice":{"value":0,"currency":"KES"},"factor":1,"net":{"value":0,"currency":"KES"}}],"total":{"value":0,"currency":"KES"}}},{"resource":{"resourceType":"ClaimResponse","id":"43eeac9e-c1d1-4bd8-b52a-8c533fa12f36","extension":[{"url":"https://qa-mis.apeiro-digital.com/fhir/StructureDefinition/claim-state-extension","valueCodeableConcept":{"coding":[{"system":"https://qa-mis.apeiro-digital.com/fhir/CodeSystem/claim-state","code":"pending","display":"Pending"}]}}],"status":"active","use":"claim","request":{"reference":"Claim/df5de1bc-15ac-44cc-a3cc-08ac2b5b7720"},"outcome":"queued"}}]}</t>
  </si>
  <si>
    <t>CR2999235371111-2</t>
  </si>
  <si>
    <t>LEYLA ABDI MAHAT</t>
  </si>
  <si>
    <t>353583bf-aa4b-4f08-b01f-e9d96ac52d4a</t>
  </si>
  <si>
    <t>{"resourceType":"Bundle","id":"353583bf-aa4b-4f08-b01f-e9d96ac52d4a","meta":{"profile":["https://qa-mis.apeiro-digital.com/fhir/StructureDefinition/bundle|1.0.0"]},"type":"message","timestamp":"2025-10-02T18:23:14.974Z","entry":[{"fullUrl":"https://qa-mis.apeiro-digital.com/fhir/Coverage/CR2999235371111-2-sha-coverage","resource":{"resourceType":"Coverage","id":"CR2999235371111-2-sha-coverage","extension":[{"url":"undefined/schemeCategoryCode","valueString":"CAT-SHA-001"},{"url":"undefined/schemeCategoryName","valueString":"SOCIAL HEALTH AUTHORITY"}],"identifier":[{"use":"official","value":"CR2999235371111-2-sha-coverage"}],"status":"active","beneficiary":{"reference":"https://qa-mis.apeiro-digital.com/fhir/Patient/CR2999235371111-2","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2999235371111-2","resource":{"resourceType":"Patient","id":"CR2999235371111-2","meta":{"profile":["https://qa-mis.apeiro-digital.com/fhir/StructureDefinition/patient|1.0.0"]},"identifier":[{"use":"official","system":"https://qa-mis.apeiro-digital.com/fhir/identifier/shanumber","value":"CR2999235371111-2"},{"use":"official","system":"https://qa-mis.apeiro-digital.com/fhir/identifier/phonenumber","value":"CR2999235371111-2"},{"use":"official","system":"https://qa-mis.apeiro-digital.com/fhir/identifier/nationalid","value":"CR2999235371111-2"},{"use":"official","system":"https://qa-mis.apeiro-digital.com/fhir/identifier/other","value":"CR2999235371111-2"}],"name":[{"text":"LEYLA ABDI MAHAT","family":"MAHAT","given":["LEYLA","ABDI"]}],"gender":"female","birthDate":"1969-08-22"}},{"fullUrl":"https://qa-mis.apeiro-digital.com/fhir/Claim/0271b138-4156-492c-a8f6-b144efceaa38","resource":{"resourceType":"Claim","id":"6602698f-df4d-4978-8f52-1fc7b84936dd","extension":[{"url":"https://qa-mis.apeiro-digital.com/fhir/StructureDefinition/extension-patientInvoice","extension":[{"url":"invoiceNumber","valueString":"FUKVC34"},{"url":"invoiceDate","valueDate":"2025-09-01"},{"url":"invoiceAmount","valueMoney":{"value":0,"currency":"KES"}},{"url":"https://qa-mis.apeiro-digital.com/fhir/StructureDefinition/extension-patient-share","valueMoney":{"value":0,"currency":"KES"}},{"url":"https://qa-mis.apeiro-digital.com/fhir/StructureDefinition/extension-patientInvoiceIdentifier","valueIdentifier":{"system":"https://qa-mis.apeiro-digital.com/fhir/identifier/patientInvoice","value":"CR2999235371111-2-invoice-0fce120a-a8c7-40af-b6f6-2ab754eaeab2"}}]}],"identifier":[{"system":"https://qa-mis.apeiro-digital.com/fhir/claim","value":"388a1977-0d25-4bc3-b45e-ee7ea3c59706"}],"status":"active","type":{"coding":[{"system":"http://terminology.hl7.org/CodeSystem/claim-type","code":"institutional"}]},"subType":{"coding":[{"system":"http://terminology.hl7.org/CodeSystem/ex-claimsubtype","code":"ip"}]},"use":"claim","patient":{"reference":"https://qa-mis.apeiro-digital.com/fhir/Patient/CR2999235371111-2"},"billablePeriod":{"start":"2025-10-02T10:40:22+03:00","end":"2025-10-02T10:40:22+03:00"},"created":"2025-09-01","provider":{"reference":"https://qa-mis.apeiro-digital.com/fhir/Organization/FID-22-115390-3"},"priority":{"coding":[{"system":"http://terminology.hl7.org/CodeSystem/processpriority","code":"normal"}]},"related":[{"claim":{"identifier":{"system":"https://qa-mis.apeiro-digital.com/fhir/claim","value":"6d93382f-7487-4324-b020-61e6cbe86f18"}},"relationship":{"coding":[{"system":"https://qa-mis.apeiro-digital.com/fhir/CodeSystem/claim-relation-type","code":"pre-auth"}],"text":"Preauthorization"}}],"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disease"}]}}],"item":[{"sequence":1,"productOrService":{"coding":[{"system":"https://qa-mis.apeiro-digital.com/fhir/CodeSystem/intervention-codes","code":"SHA-06-022","display":"Chemotherapy medicines"}]},"servicedPeriod":{"start":"2025-10-02","end":"2025-10-02"},"quantity":{"value":1},"unitPrice":{"value":0,"currency":"KES"},"factor":1,"net":{"value":0,"currency":"KES"}}],"total":{"value":0,"currency":"KES"}}},{"resource":{"resourceType":"ClaimResponse","id":"c1da5ef2-1f62-412b-950b-ab486cdacf83","extension":[{"url":"https://qa-mis.apeiro-digital.com/fhir/StructureDefinition/claim-state-extension","valueCodeableConcept":{"coding":[{"system":"https://qa-mis.apeiro-digital.com/fhir/CodeSystem/claim-state","code":"pending","display":"Pending"}]}}],"status":"active","use":"claim","request":{"reference":"Claim/6602698f-df4d-4978-8f52-1fc7b84936dd"},"outcome":"queued"}}]}</t>
  </si>
  <si>
    <t>CR7233884426628-0</t>
  </si>
  <si>
    <t>0c969ae8-f6d8-44b5-8694-372c1a354811</t>
  </si>
  <si>
    <t>{"resourceType":"Bundle","id":"0c969ae8-f6d8-44b5-8694-372c1a354811","meta":{"profile":["https://qa-mis.apeiro-digital.com/fhir/StructureDefinition/bundle|1.0.0"]},"type":"message","timestamp":"2025-10-02T18:23:07.965Z","entry":[{"fullUrl":"https://qa-mis.apeiro-digital.com/fhir/Coverage/CR7233884426628-0-sha-coverage","resource":{"resourceType":"Coverage","id":"CR7233884426628-0-sha-coverage","extension":[{"url":"undefined/schemeCategoryCode","valueString":"CAT-SHA-001"},{"url":"undefined/schemeCategoryName","valueString":"SOCIAL HEALTH AUTHORITY"}],"identifier":[{"use":"official","value":"CR7233884426628-0-sha-coverage"}],"status":"active","beneficiary":{"reference":"https://qa-mis.apeiro-digital.com/fhir/Patient/CR7233884426628-0","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7233884426628-0","resource":{"resourceType":"Patient","id":"CR7233884426628-0","meta":{"profile":["https://qa-mis.apeiro-digital.com/fhir/StructureDefinition/patient|1.0.0"]},"identifier":[{"use":"official","system":"https://qa-mis.apeiro-digital.com/fhir/identifier/shanumber","value":"CR7233884426628-0"},{"use":"official","system":"https://qa-mis.apeiro-digital.com/fhir/identifier/phonenumber","value":"CR7233884426628-0"},{"use":"official","system":"https://qa-mis.apeiro-digital.com/fhir/identifier/nationalid","value":"CR7233884426628-0"},{"use":"official","system":"https://qa-mis.apeiro-digital.com/fhir/identifier/other","value":"CR7233884426628-0"}],"name":[{"text":"ALICE KARAMBU","family":"KARAMBU","given":["ALICE"]}],"gender":"female","birthDate":"2019-06-18"}},{"fullUrl":"https://qa-mis.apeiro-digital.com/fhir/Claim/5b59f9a9-f0bd-47f8-941d-74864e1a8209","resource":{"resourceType":"Claim","id":"79235773-b351-4772-aafa-0ef190ed6fbd","extension":[{"url":"https://qa-mis.apeiro-digital.com/fhir/StructureDefinition/extension-patientInvoice","extension":[{"url":"invoiceNumber","valueString":"FUKVC34"},{"url":"invoiceDate","valueDate":"2025-09-01"},{"url":"invoiceAmount","valueMoney":{"value":0,"currency":"KES"}},{"url":"https://qa-mis.apeiro-digital.com/fhir/StructureDefinition/extension-patient-share","valueMoney":{"value":0,"currency":"KES"}},{"url":"https://qa-mis.apeiro-digital.com/fhir/StructureDefinition/extension-patientInvoiceIdentifier","valueIdentifier":{"system":"https://qa-mis.apeiro-digital.com/fhir/identifier/patientInvoice","value":"CR7233884426628-0-invoice-1e271661-1382-4b32-a16a-3a072cc17882"}}]}],"identifier":[{"system":"https://qa-mis.apeiro-digital.com/fhir/claim","value":"588a30b0-59e9-422e-9968-d5f67575c790"}],"status":"active","type":{"coding":[{"system":"http://terminology.hl7.org/CodeSystem/claim-type","code":"institutional"}]},"subType":{"coding":[{"system":"http://terminology.hl7.org/CodeSystem/ex-claimsubtype","code":"ip"}]},"use":"claim","patient":{"reference":"https://qa-mis.apeiro-digital.com/fhir/Patient/CR7233884426628-0"},"billablePeriod":{"start":"2025-10-02T10:40:22+03:00","end":"2025-10-02T10:40:22+03:00"},"created":"2025-09-01","provider":{"reference":"https://qa-mis.apeiro-digital.com/fhir/Organization/FID-22-115390-3"},"priority":{"coding":[{"system":"http://terminology.hl7.org/CodeSystem/processpriority","code":"normal"}]},"related":[{"claim":{"identifier":{"system":"https://qa-mis.apeiro-digital.com/fhir/claim","value":"8f9c0f26-1df6-4957-9044-d01b1c778237"}},"relationship":{"coding":[{"system":"https://qa-mis.apeiro-digital.com/fhir/CodeSystem/claim-relation-type","code":"pre-auth"}],"text":"Preauthorization"}}],"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disease"}]}}],"item":[{"sequence":1,"productOrService":{"coding":[{"system":"https://qa-mis.apeiro-digital.com/fhir/CodeSystem/intervention-codes","code":"SHA-06-022","display":"Chemotherapy medicines"}]},"servicedPeriod":{"start":"2025-10-02","end":"2025-10-02"},"quantity":{"value":1},"unitPrice":{"value":0,"currency":"KES"},"factor":1,"net":{"value":0,"currency":"KES"}}],"total":{"value":0,"currency":"KES"}}},{"resource":{"resourceType":"ClaimResponse","id":"34bcd18f-0e2b-45ac-a034-a83f8fb98ba0","extension":[{"url":"https://qa-mis.apeiro-digital.com/fhir/StructureDefinition/claim-state-extension","valueCodeableConcept":{"coding":[{"system":"https://qa-mis.apeiro-digital.com/fhir/CodeSystem/claim-state","code":"pending","display":"Pending"}]}}],"status":"active","use":"claim","request":{"reference":"Claim/79235773-b351-4772-aafa-0ef190ed6fbd"},"outcome":"queued"}}]}</t>
  </si>
  <si>
    <t>CR8841007015061-1</t>
  </si>
  <si>
    <t>4f994b5a-4db7-4bf5-8eef-3fff7daf7d0c</t>
  </si>
  <si>
    <t>{"resourceType":"Bundle","id":"4f994b5a-4db7-4bf5-8eef-3fff7daf7d0c","meta":{"profile":["https://qa-mis.apeiro-digital.com/fhir/StructureDefinition/bundle|1.0.0"]},"type":"message","timestamp":"2025-10-02T18:23:09.375Z","entry":[{"fullUrl":"https://qa-mis.apeiro-digital.com/fhir/Coverage/CR8841007015061-1-sha-coverage","resource":{"resourceType":"Coverage","id":"CR8841007015061-1-sha-coverage","extension":[{"url":"undefined/schemeCategoryCode","valueString":"CAT-SHA-001"},{"url":"undefined/schemeCategoryName","valueString":"SOCIAL HEALTH AUTHORITY"}],"identifier":[{"use":"official","value":"CR8841007015061-1-sha-coverage"}],"status":"active","beneficiary":{"reference":"https://qa-mis.apeiro-digital.com/fhir/Patient/CR8841007015061-1","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8841007015061-1","resource":{"resourceType":"Patient","id":"CR8841007015061-1","meta":{"profile":["https://qa-mis.apeiro-digital.com/fhir/StructureDefinition/patient|1.0.0"]},"identifier":[{"use":"official","system":"https://qa-mis.apeiro-digital.com/fhir/identifier/shanumber","value":"CR8841007015061-1"},{"use":"official","system":"https://qa-mis.apeiro-digital.com/fhir/identifier/phonenumber","value":"CR8841007015061-1"},{"use":"official","system":"https://qa-mis.apeiro-digital.com/fhir/identifier/nationalid","value":"CR8841007015061-1"},{"use":"official","system":"https://qa-mis.apeiro-digital.com/fhir/identifier/other","value":"CR8841007015061-1"}],"name":[{"text":"ALICE KARAMBU","family":"KARAMBU","given":["ALICE"]}],"gender":"male","birthDate":"1967-07-06"}},{"fullUrl":"https://qa-mis.apeiro-digital.com/fhir/Claim/836fbb63-fbac-4c40-a104-12736d887375","resource":{"resourceType":"Claim","id":"42237db7-6f2c-4ccc-8565-9c576468c8ef","extension":[{"url":"https://qa-mis.apeiro-digital.com/fhir/StructureDefinition/extension-patientInvoice","extension":[{"url":"invoiceNumber","valueString":"FUKVC34"},{"url":"invoiceDate","valueDate":"2025-09-01"},{"url":"invoiceAmount","valueMoney":{"value":0,"currency":"KES"}},{"url":"https://qa-mis.apeiro-digital.com/fhir/StructureDefinition/extension-patient-share","valueMoney":{"value":0,"currency":"KES"}},{"url":"https://qa-mis.apeiro-digital.com/fhir/StructureDefinition/extension-patientInvoiceIdentifier","valueIdentifier":{"system":"https://qa-mis.apeiro-digital.com/fhir/identifier/patientInvoice","value":"CR8841007015061-1-invoice-3414c7f1-6e74-4046-8da9-0f0bc7dd3cd2"}}]}],"identifier":[{"system":"https://qa-mis.apeiro-digital.com/fhir/claim","value":"d4b165e3-a7fa-4488-8409-4b0312afdb6f"}],"status":"active","type":{"coding":[{"system":"http://terminology.hl7.org/CodeSystem/claim-type","code":"institutional"}]},"subType":{"coding":[{"system":"http://terminology.hl7.org/CodeSystem/ex-claimsubtype","code":"ip"}]},"use":"claim","patient":{"reference":"https://qa-mis.apeiro-digital.com/fhir/Patient/CR8841007015061-1"},"billablePeriod":{"start":"2025-10-02T10:40:22+03:00","end":"2025-10-02T10:40:22+03:00"},"created":"2025-09-01","provider":{"reference":"https://qa-mis.apeiro-digital.com/fhir/Organization/FID-22-115390-3"},"priority":{"coding":[{"system":"http://terminology.hl7.org/CodeSystem/processpriority","code":"normal"}]},"related":[{"claim":{"identifier":{"system":"https://qa-mis.apeiro-digital.com/fhir/claim","value":"13ed3603-e4ac-4e1b-8e29-96817087edb1"}},"relationship":{"coding":[{"system":"https://qa-mis.apeiro-digital.com/fhir/CodeSystem/claim-relation-type","code":"pre-auth"}],"text":"Preauthorization"}}],"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disease"}]}}],"item":[{"sequence":1,"productOrService":{"coding":[{"system":"https://qa-mis.apeiro-digital.com/fhir/CodeSystem/intervention-codes","code":"SHA-06-022","display":"Chemotherapy medicines"}]},"servicedPeriod":{"start":"2025-10-02","end":"2025-10-02"},"quantity":{"value":1},"unitPrice":{"value":0,"currency":"KES"},"factor":1,"net":{"value":0,"currency":"KES"}}],"total":{"value":0,"currency":"KES"}}},{"resource":{"resourceType":"ClaimResponse","id":"18c1c197-12b7-4cb6-b30f-f30933f2d923","extension":[{"url":"https://qa-mis.apeiro-digital.com/fhir/StructureDefinition/claim-state-extension","valueCodeableConcept":{"coding":[{"system":"https://qa-mis.apeiro-digital.com/fhir/CodeSystem/claim-state","code":"pending","display":"Pending"}]}}],"status":"active","use":"claim","request":{"reference":"Claim/42237db7-6f2c-4ccc-8565-9c576468c8ef"},"outcome":"queued"}}]}</t>
  </si>
  <si>
    <t>CR2325921975210-2</t>
  </si>
  <si>
    <t>ALICE  KARAMBU</t>
  </si>
  <si>
    <t>d5d4800c-410e-4775-9900-38195bfe9813</t>
  </si>
  <si>
    <t>{"resourceType":"Bundle","id":"d5d4800c-410e-4775-9900-38195bfe9813","meta":{"profile":["https://qa-mis.apeiro-digital.com/fhir/StructureDefinition/bundle|1.0.0"]},"type":"message","timestamp":"2025-10-02T18:23:14.683Z","entry":[{"fullUrl":"https://qa-mis.apeiro-digital.com/fhir/Coverage/CR2325921975210-2-sha-coverage","resource":{"resourceType":"Coverage","id":"CR2325921975210-2-sha-coverage","extension":[{"url":"undefined/schemeCategoryCode","valueString":"CAT-SHA-001"},{"url":"undefined/schemeCategoryName","valueString":"SOCIAL HEALTH AUTHORITY"}],"identifier":[{"use":"official","value":"CR2325921975210-2-sha-coverage"}],"status":"active","beneficiary":{"reference":"https://qa-mis.apeiro-digital.com/fhir/Patient/CR2325921975210-2","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2325921975210-2","resource":{"resourceType":"Patient","id":"CR2325921975210-2","meta":{"profile":["https://qa-mis.apeiro-digital.com/fhir/StructureDefinition/patient|1.0.0"]},"identifier":[{"use":"official","system":"https://qa-mis.apeiro-digital.com/fhir/identifier/shanumber","value":"CR2325921975210-2"},{"use":"official","system":"https://qa-mis.apeiro-digital.com/fhir/identifier/phonenumber","value":"CR2325921975210-2"},{"use":"official","system":"https://qa-mis.apeiro-digital.com/fhir/identifier/nationalid","value":"CR2325921975210-2"},{"use":"official","system":"https://qa-mis.apeiro-digital.com/fhir/identifier/other","value":"CR2325921975210-2"}],"name":[{"text":"ALICE  KARAMBU","family":"KARAMBU","given":["ALICE"]}],"gender":"female","birthDate":"1985-11-25"}},{"fullUrl":"https://qa-mis.apeiro-digital.com/fhir/Claim/e922597b-f26e-4751-9cc4-9d7bd40053f8","resource":{"resourceType":"Claim","id":"23233845-d15b-4196-a2eb-463a3b51734e","extension":[{"url":"https://qa-mis.apeiro-digital.com/fhir/StructureDefinition/extension-patientInvoice","extension":[{"url":"invoiceNumber","valueString":"FUKVC34"},{"url":"invoiceDate","valueDate":"2025-09-01"},{"url":"invoiceAmount","valueMoney":{"value":0,"currency":"KES"}},{"url":"https://qa-mis.apeiro-digital.com/fhir/StructureDefinition/extension-patient-share","valueMoney":{"value":0,"currency":"KES"}},{"url":"https://qa-mis.apeiro-digital.com/fhir/StructureDefinition/extension-patientInvoiceIdentifier","valueIdentifier":{"system":"https://qa-mis.apeiro-digital.com/fhir/identifier/patientInvoice","value":"CR2325921975210-2-invoice-3bead671-c390-46c3-99de-1677854b2ec5"}}]}],"identifier":[{"system":"https://qa-mis.apeiro-digital.com/fhir/claim","value":"a11f244f-8aae-4881-b67b-5ead1859e007"}],"status":"active","type":{"coding":[{"system":"http://terminology.hl7.org/CodeSystem/claim-type","code":"institutional"}]},"subType":{"coding":[{"system":"http://terminology.hl7.org/CodeSystem/ex-claimsubtype","code":"ip"}]},"use":"claim","patient":{"reference":"https://qa-mis.apeiro-digital.com/fhir/Patient/CR2325921975210-2"},"billablePeriod":{"start":"2025-10-02T10:40:22+03:00","end":"2025-10-02T10:40:22+03:00"},"created":"2025-09-01","provider":{"reference":"https://qa-mis.apeiro-digital.com/fhir/Organization/FID-22-115390-3"},"priority":{"coding":[{"system":"http://terminology.hl7.org/CodeSystem/processpriority","code":"normal"}]},"related":[{"claim":{"identifier":{"system":"https://qa-mis.apeiro-digital.com/fhir/claim","value":"e2f497aa-1b77-40c2-98a7-812c12761473"}},"relationship":{"coding":[{"system":"https://qa-mis.apeiro-digital.com/fhir/CodeSystem/claim-relation-type","code":"pre-auth"}],"text":"Preauthorization"}}],"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disease"}]}}],"item":[{"sequence":1,"productOrService":{"coding":[{"system":"https://qa-mis.apeiro-digital.com/fhir/CodeSystem/intervention-codes","code":"SHA-06-022","display":"Chemotherapy medicines"}]},"servicedPeriod":{"start":"2025-10-02","end":"2025-10-02"},"quantity":{"value":1},"unitPrice":{"value":0,"currency":"KES"},"factor":1,"net":{"value":0,"currency":"KES"}}],"total":{"value":0,"currency":"KES"}}},{"resource":{"resourceType":"ClaimResponse","id":"613e6049-f1cd-4563-b6df-6dd1bd987d91","extension":[{"url":"https://qa-mis.apeiro-digital.com/fhir/StructureDefinition/claim-state-extension","valueCodeableConcept":{"coding":[{"system":"https://qa-mis.apeiro-digital.com/fhir/CodeSystem/claim-state","code":"pending","display":"Pending"}]}}],"status":"active","use":"claim","request":{"reference":"Claim/23233845-d15b-4196-a2eb-463a3b51734e"},"outcome":"queued"}}]}</t>
  </si>
  <si>
    <t>CR0783440687236-6</t>
  </si>
  <si>
    <t>failed</t>
  </si>
  <si>
    <t>{}</t>
  </si>
  <si>
    <t>CR0043835553565-6</t>
  </si>
  <si>
    <t>CYNTHIA KOECH CHEPNGENO</t>
  </si>
  <si>
    <t>588f1b57-488a-475f-b732-808ee8188c2b</t>
  </si>
  <si>
    <t>{"resourceType":"Bundle","id":"588f1b57-488a-475f-b732-808ee8188c2b","meta":{"profile":["https://qa-mis.apeiro-digital.com/fhir/StructureDefinition/bundle|1.0.0"]},"type":"message","timestamp":"2025-10-02T18:23:13.633Z","entry":[{"fullUrl":"https://qa-mis.apeiro-digital.com/fhir/Coverage/CR0043835553565-6-sha-coverage","resource":{"resourceType":"Coverage","id":"CR0043835553565-6-sha-coverage","extension":[{"url":"undefined/schemeCategoryCode","valueString":"CAT-SHA-001"},{"url":"undefined/schemeCategoryName","valueString":"SOCIAL HEALTH AUTHORITY"}],"identifier":[{"use":"official","value":"CR0043835553565-6-sha-coverage"}],"status":"active","beneficiary":{"reference":"https://qa-mis.apeiro-digital.com/fhir/Patient/CR0043835553565-6","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0043835553565-6","resource":{"resourceType":"Patient","id":"CR0043835553565-6","meta":{"profile":["https://qa-mis.apeiro-digital.com/fhir/StructureDefinition/patient|1.0.0"]},"identifier":[{"use":"official","system":"https://qa-mis.apeiro-digital.com/fhir/identifier/shanumber","value":"CR0043835553565-6"},{"use":"official","system":"https://qa-mis.apeiro-digital.com/fhir/identifier/phonenumber","value":"CR0043835553565-6"},{"use":"official","system":"https://qa-mis.apeiro-digital.com/fhir/identifier/nationalid","value":"CR0043835553565-6"},{"use":"official","system":"https://qa-mis.apeiro-digital.com/fhir/identifier/other","value":"CR0043835553565-6"}],"name":[{"text":"CYNTHIA KOECH CHEPNGENO","family":"CHEPNGENO","given":["CYNTHIA","KOECH"]}],"gender":"female","birthDate":"1995-01-01"}},{"fullUrl":"https://qa-mis.apeiro-digital.com/fhir/Claim/fae0b231-fe40-40f6-adc1-4ed4ddb06879","resource":{"resourceType":"Claim","id":"5349c581-faa7-432f-b424-a51cda071517","extension":[{"url":"https://qa-mis.apeiro-digital.com/fhir/StructureDefinition/extension-patientInvoice","extension":[{"url":"invoiceNumber","valueString":"FUKVC34"},{"url":"invoiceDate","valueDate":"2025-09-01"},{"url":"invoiceAmount","valueMoney":{"value":0,"currency":"KES"}},{"url":"https://qa-mis.apeiro-digital.com/fhir/StructureDefinition/extension-patient-share","valueMoney":{"value":0,"currency":"KES"}},{"url":"https://qa-mis.apeiro-digital.com/fhir/StructureDefinition/extension-patientInvoiceIdentifier","valueIdentifier":{"system":"https://qa-mis.apeiro-digital.com/fhir/identifier/patientInvoice","value":"CR0043835553565-6-invoice-e396a02d-361a-4efd-bf02-59e5c9aed2ea"}}]}],"identifier":[{"system":"https://qa-mis.apeiro-digital.com/fhir/claim","value":"9e1c0d82-205e-4004-b163-b1b3953219db"}],"status":"active","type":{"coding":[{"system":"http://terminology.hl7.org/CodeSystem/claim-type","code":"institutional"}]},"subType":{"coding":[{"system":"http://terminology.hl7.org/CodeSystem/ex-claimsubtype","code":"ip"}]},"use":"claim","patient":{"reference":"https://qa-mis.apeiro-digital.com/fhir/Patient/CR0043835553565-6"},"billablePeriod":{"start":"2025-10-02T10:40:22+03:00","end":"2025-10-02T10:40:22+03:00"},"created":"2025-09-01","provider":{"reference":"https://qa-mis.apeiro-digital.com/fhir/Organization/FID-22-115390-3"},"priority":{"coding":[{"system":"http://terminology.hl7.org/CodeSystem/processpriority","code":"normal"}]},"related":[{"claim":{"identifier":{"system":"https://qa-mis.apeiro-digital.com/fhir/claim","value":"414156ee-f387-4da7-b6ed-0b7e26f55849"}},"relationship":{"coding":[{"system":"https://qa-mis.apeiro-digital.com/fhir/CodeSystem/claim-relation-type","code":"pre-auth"}],"text":"Preauthorization"}}],"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disease"}]}}],"item":[{"sequence":1,"productOrService":{"coding":[{"system":"https://qa-mis.apeiro-digital.com/fhir/CodeSystem/intervention-codes","code":"SHA-06-022","display":"Chemotherapy medicines"}]},"servicedPeriod":{"start":"2025-10-02","end":"2025-10-02"},"quantity":{"value":1},"unitPrice":{"value":0,"currency":"KES"},"factor":1,"net":{"value":0,"currency":"KES"}}],"total":{"value":0,"currency":"KES"}}},{"resource":{"resourceType":"ClaimResponse","id":"a364dbba-ccdd-404b-bfda-5f7c7d014071","extension":[{"url":"https://qa-mis.apeiro-digital.com/fhir/StructureDefinition/claim-state-extension","valueCodeableConcept":{"coding":[{"system":"https://qa-mis.apeiro-digital.com/fhir/CodeSystem/claim-state","code":"pending","display":"Pending"}]}}],"status":"active","use":"claim","request":{"reference":"Claim/5349c581-faa7-432f-b424-a51cda071517"},"outcome":"queued"}}]}</t>
  </si>
  <si>
    <t>CR0241981506490-7</t>
  </si>
  <si>
    <t>NIMO SULEIMAN ALI</t>
  </si>
  <si>
    <t>0af4d280-a7bb-4496-97b4-d614875892e9</t>
  </si>
  <si>
    <t>{"resourceType":"Bundle","id":"0af4d280-a7bb-4496-97b4-d614875892e9","meta":{"profile":["https://qa-mis.apeiro-digital.com/fhir/StructureDefinition/bundle|1.0.0"]},"type":"message","timestamp":"2025-10-02T18:23:14.225Z","entry":[{"fullUrl":"https://qa-mis.apeiro-digital.com/fhir/Coverage/CR0241981506490-7-sha-coverage","resource":{"resourceType":"Coverage","id":"CR0241981506490-7-sha-coverage","extension":[{"url":"undefined/schemeCategoryCode","valueString":"CAT-SHA-001"},{"url":"undefined/schemeCategoryName","valueString":"SOCIAL HEALTH AUTHORITY"}],"identifier":[{"use":"official","value":"CR0241981506490-7-sha-coverage"}],"status":"active","beneficiary":{"reference":"https://qa-mis.apeiro-digital.com/fhir/Patient/CR0241981506490-7","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0241981506490-7","resource":{"resourceType":"Patient","id":"CR0241981506490-7","meta":{"profile":["https://qa-mis.apeiro-digital.com/fhir/StructureDefinition/patient|1.0.0"]},"identifier":[{"use":"official","system":"https://qa-mis.apeiro-digital.com/fhir/identifier/shanumber","value":"CR0241981506490-7"},{"use":"official","system":"https://qa-mis.apeiro-digital.com/fhir/identifier/phonenumber","value":"CR0241981506490-7"},{"use":"official","system":"https://qa-mis.apeiro-digital.com/fhir/identifier/nationalid","value":"CR0241981506490-7"},{"use":"official","system":"https://qa-mis.apeiro-digital.com/fhir/identifier/other","value":"CR0241981506490-7"}],"name":[{"text":"NIMO SULEIMAN ALI","family":"ALI","given":["NIMO","SULEIMAN"]}],"gender":"female","birthDate":"1996-01-10"}},{"fullUrl":"https://qa-mis.apeiro-digital.com/fhir/Claim/90d3891d-1908-42d4-9246-38481ab4aa0b","resource":{"resourceType":"Claim","id":"b73a4116-3926-4723-9c97-e1863281de2f","extension":[{"url":"https://qa-mis.apeiro-digital.com/fhir/StructureDefinition/extension-patientInvoice","extension":[{"url":"invoiceNumber","valueString":"FUKVC34"},{"url":"invoiceDate","valueDate":"2025-09-01"},{"url":"invoiceAmount","valueMoney":{"value":0,"currency":"KES"}},{"url":"https://qa-mis.apeiro-digital.com/fhir/StructureDefinition/extension-patient-share","valueMoney":{"value":0,"currency":"KES"}},{"url":"https://qa-mis.apeiro-digital.com/fhir/StructureDefinition/extension-patientInvoiceIdentifier","valueIdentifier":{"system":"https://qa-mis.apeiro-digital.com/fhir/identifier/patientInvoice","value":"CR0241981506490-7-invoice-f9a22332-06c7-497c-8d3e-dd7d238e1f65"}}]}],"identifier":[{"system":"https://qa-mis.apeiro-digital.com/fhir/claim","value":"30fdfb7f-28ce-46bf-93f4-8a15d7b08b0b"}],"status":"active","type":{"coding":[{"system":"http://terminology.hl7.org/CodeSystem/claim-type","code":"institutional"}]},"subType":{"coding":[{"system":"http://terminology.hl7.org/CodeSystem/ex-claimsubtype","code":"ip"}]},"use":"claim","patient":{"reference":"https://qa-mis.apeiro-digital.com/fhir/Patient/CR0241981506490-7"},"billablePeriod":{"start":"2025-10-02T10:40:22+03:00","end":"2025-10-02T10:40:22+03:00"},"created":"2025-09-01","provider":{"reference":"https://qa-mis.apeiro-digital.com/fhir/Organization/FID-22-115390-3"},"priority":{"coding":[{"system":"http://terminology.hl7.org/CodeSystem/processpriority","code":"normal"}]},"related":[{"claim":{"identifier":{"system":"https://qa-mis.apeiro-digital.com/fhir/claim","value":"3e6518e7-7eaf-48e6-8a96-555020eeb837"}},"relationship":{"coding":[{"system":"https://qa-mis.apeiro-digital.com/fhir/CodeSystem/claim-relation-type","code":"pre-auth"}],"text":"Preauthorization"}}],"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disease"}]}}],"item":[{"sequence":1,"productOrService":{"coding":[{"system":"https://qa-mis.apeiro-digital.com/fhir/CodeSystem/intervention-codes","code":"SHA-06-022","display":"Chemotherapy medicines"}]},"servicedPeriod":{"start":"2025-10-02","end":"2025-10-02"},"quantity":{"value":1},"unitPrice":{"value":0,"currency":"KES"},"factor":1,"net":{"value":0,"currency":"KES"}}],"total":{"value":0,"currency":"KES"}}},{"resource":{"resourceType":"ClaimResponse","id":"dd7e8e13-542d-4372-9939-db7e653d95c4","extension":[{"url":"https://qa-mis.apeiro-digital.com/fhir/StructureDefinition/claim-state-extension","valueCodeableConcept":{"coding":[{"system":"https://qa-mis.apeiro-digital.com/fhir/CodeSystem/claim-state","code":"pending","display":"Pending"}]}}],"status":"active","use":"claim","request":{"reference":"Claim/b73a4116-3926-4723-9c97-e1863281de2f"},"outcome":"queued"}}]}</t>
  </si>
  <si>
    <t>CR9525318584379-0</t>
  </si>
  <si>
    <t>ESTHER NANJALA SIMIYU</t>
  </si>
  <si>
    <t>c877920e-fd35-4a52-93d6-d6221154f3f3</t>
  </si>
  <si>
    <t>{"resourceType":"Bundle","id":"c877920e-fd35-4a52-93d6-d6221154f3f3","meta":{"profile":["https://qa-mis.apeiro-digital.com/fhir/StructureDefinition/bundle|1.0.0"]},"type":"message","timestamp":"2025-10-02T18:23:08.174Z","entry":[{"fullUrl":"https://qa-mis.apeiro-digital.com/fhir/Coverage/CR9525318584379-0-sha-coverage","resource":{"resourceType":"Coverage","id":"CR9525318584379-0-sha-coverage","extension":[{"url":"undefined/schemeCategoryCode","valueString":"CAT-SHA-001"},{"url":"undefined/schemeCategoryName","valueString":"SOCIAL HEALTH AUTHORITY"}],"identifier":[{"use":"official","value":"CR9525318584379-0-sha-coverage"}],"status":"active","beneficiary":{"reference":"https://qa-mis.apeiro-digital.com/fhir/Patient/CR9525318584379-0","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9525318584379-0","resource":{"resourceType":"Patient","id":"CR9525318584379-0","meta":{"profile":["https://qa-mis.apeiro-digital.com/fhir/StructureDefinition/patient|1.0.0"]},"identifier":[{"use":"official","system":"https://qa-mis.apeiro-digital.com/fhir/identifier/shanumber","value":"CR9525318584379-0"},{"use":"official","system":"https://qa-mis.apeiro-digital.com/fhir/identifier/phonenumber","value":"CR9525318584379-0"},{"use":"official","system":"https://qa-mis.apeiro-digital.com/fhir/identifier/nationalid","value":"CR9525318584379-0"},{"use":"official","system":"https://qa-mis.apeiro-digital.com/fhir/identifier/other","value":"CR9525318584379-0"}],"name":[{"text":"ESTHER NANJALA SIMIYU","family":"SIMIYU","given":["ESTHER","NANJALA"]}],"gender":"female","birthDate":"1999-12-20"}},{"fullUrl":"https://qa-mis.apeiro-digital.com/fhir/Claim/2cbb1fac-0813-470e-9f4a-0b36a72fca25","resource":{"resourceType":"Claim","id":"2d5fac04-c133-48a4-8603-7952d9b2cb7f","extension":[{"url":"https://qa-mis.apeiro-digital.com/fhir/StructureDefinition/extension-patientInvoice","extension":[{"url":"invoiceNumber","valueString":"FUKVC34"},{"url":"invoiceDate","valueDate":"2025-09-01"},{"url":"invoiceAmount","valueMoney":{"value":0,"currency":"KES"}},{"url":"https://qa-mis.apeiro-digital.com/fhir/StructureDefinition/extension-patient-share","valueMoney":{"value":0,"currency":"KES"}},{"url":"https://qa-mis.apeiro-digital.com/fhir/StructureDefinition/extension-patientInvoiceIdentifier","valueIdentifier":{"system":"https://qa-mis.apeiro-digital.com/fhir/identifier/patientInvoice","value":"CR9525318584379-0-invoice-a38dfcfd-cac9-402f-aa4e-4ce7a0cadf32"}}]}],"identifier":[{"system":"https://qa-mis.apeiro-digital.com/fhir/claim","value":"5f81333b-08d7-4fe9-a480-782b393b88c7"}],"status":"active","type":{"coding":[{"system":"http://terminology.hl7.org/CodeSystem/claim-type","code":"institutional"}]},"subType":{"coding":[{"system":"http://terminology.hl7.org/CodeSystem/ex-claimsubtype","code":"ip"}]},"use":"claim","patient":{"reference":"https://qa-mis.apeiro-digital.com/fhir/Patient/CR9525318584379-0"},"billablePeriod":{"start":"2025-10-02T10:40:22+03:00","end":"2025-10-02T10:40:22+03:00"},"created":"2025-09-01","provider":{"reference":"https://qa-mis.apeiro-digital.com/fhir/Organization/FID-22-115390-3"},"priority":{"coding":[{"system":"http://terminology.hl7.org/CodeSystem/processpriority","code":"normal"}]},"related":[{"claim":{"identifier":{"system":"https://qa-mis.apeiro-digital.com/fhir/claim","value":"3c305d74-cb3b-44da-b2f0-f5480694bd52"}},"relationship":{"coding":[{"system":"https://qa-mis.apeiro-digital.com/fhir/CodeSystem/claim-relation-type","code":"pre-auth"}],"text":"Preauthorization"}}],"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disease"}]}}],"item":[{"sequence":1,"productOrService":{"coding":[{"system":"https://qa-mis.apeiro-digital.com/fhir/CodeSystem/intervention-codes","code":"SHA-06-022","display":"Chemotherapy medicines"}]},"servicedPeriod":{"start":"2025-10-02","end":"2025-10-02"},"quantity":{"value":1},"unitPrice":{"value":0,"currency":"KES"},"factor":1,"net":{"value":0,"currency":"KES"}}],"total":{"value":0,"currency":"KES"}}},{"resource":{"resourceType":"ClaimResponse","id":"55a60603-3b47-40c1-80e6-d2a5c4532377","extension":[{"url":"https://qa-mis.apeiro-digital.com/fhir/StructureDefinition/claim-state-extension","valueCodeableConcept":{"coding":[{"system":"https://qa-mis.apeiro-digital.com/fhir/CodeSystem/claim-state","code":"pending","display":"Pending"}]}}],"status":"active","use":"claim","request":{"reference":"Claim/2d5fac04-c133-48a4-8603-7952d9b2cb7f"},"outcome":"queued"}}]}</t>
  </si>
  <si>
    <t>CR3475610369828-0</t>
  </si>
  <si>
    <t>24382aa0-c2c1-43f6-8c1b-e2221f8e8bae</t>
  </si>
  <si>
    <t>{"resourceType":"Bundle","id":"24382aa0-c2c1-43f6-8c1b-e2221f8e8bae","meta":{"profile":["https://qa-mis.apeiro-digital.com/fhir/StructureDefinition/bundle|1.0.0"]},"type":"message","timestamp":"2025-10-02T18:23:15.146Z","entry":[{"fullUrl":"https://qa-mis.apeiro-digital.com/fhir/Coverage/CR3475610369828-0-sha-coverage","resource":{"resourceType":"Coverage","id":"CR3475610369828-0-sha-coverage","extension":[{"url":"undefined/schemeCategoryCode","valueString":"CAT-SHA-001"},{"url":"undefined/schemeCategoryName","valueString":"SOCIAL HEALTH AUTHORITY"}],"identifier":[{"use":"official","value":"CR3475610369828-0-sha-coverage"}],"status":"active","beneficiary":{"reference":"https://qa-mis.apeiro-digital.com/fhir/Patient/CR3475610369828-0","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3475610369828-0","resource":{"resourceType":"Patient","id":"CR3475610369828-0","meta":{"profile":["https://qa-mis.apeiro-digital.com/fhir/StructureDefinition/patient|1.0.0"]},"identifier":[{"use":"official","system":"https://qa-mis.apeiro-digital.com/fhir/identifier/shanumber","value":"CR3475610369828-0"},{"use":"official","system":"https://qa-mis.apeiro-digital.com/fhir/identifier/phonenumber","value":"CR3475610369828-0"},{"use":"official","system":"https://qa-mis.apeiro-digital.com/fhir/identifier/nationalid","value":"CR3475610369828-0"},{"use":"official","system":"https://qa-mis.apeiro-digital.com/fhir/identifier/other","value":"CR3475610369828-0"}],"name":[{"text":"ALICE KARAMBU","family":"KARAMBU","given":["ALICE"]}],"gender":"female","birthDate":"2024-10-24"}},{"fullUrl":"https://qa-mis.apeiro-digital.com/fhir/Claim/d9393b29-0089-4dd0-bb0c-1e593dafcd2a","resource":{"resourceType":"Claim","id":"b125fa4f-4804-459e-8f8e-a9b76613a7cd","extension":[{"url":"https://qa-mis.apeiro-digital.com/fhir/StructureDefinition/extension-patientInvoice","extension":[{"url":"invoiceNumber","valueString":"FUKVC34"},{"url":"invoiceDate","valueDate":"2025-09-01"},{"url":"invoiceAmount","valueMoney":{"value":0,"currency":"KES"}},{"url":"https://qa-mis.apeiro-digital.com/fhir/StructureDefinition/extension-patient-share","valueMoney":{"value":0,"currency":"KES"}},{"url":"https://qa-mis.apeiro-digital.com/fhir/StructureDefinition/extension-patientInvoiceIdentifier","valueIdentifier":{"system":"https://qa-mis.apeiro-digital.com/fhir/identifier/patientInvoice","value":"CR3475610369828-0-invoice-e90827d9-7d0d-4d14-9c87-fcccfe67d463"}}]}],"identifier":[{"system":"https://qa-mis.apeiro-digital.com/fhir/claim","value":"e35dd4ed-0c77-413f-8df6-c0e890ce1b0d"}],"status":"active","type":{"coding":[{"system":"http://terminology.hl7.org/CodeSystem/claim-type","code":"institutional"}]},"subType":{"coding":[{"system":"http://terminology.hl7.org/CodeSystem/ex-claimsubtype","code":"ip"}]},"use":"claim","patient":{"reference":"https://qa-mis.apeiro-digital.com/fhir/Patient/CR3475610369828-0"},"billablePeriod":{"start":"2025-10-02T10:40:22+03:00","end":"2025-10-02T10:40:22+03:00"},"created":"2025-09-01","provider":{"reference":"https://qa-mis.apeiro-digital.com/fhir/Organization/FID-22-115390-3"},"priority":{"coding":[{"system":"http://terminology.hl7.org/CodeSystem/processpriority","code":"normal"}]},"related":[{"claim":{"identifier":{"system":"https://qa-mis.apeiro-digital.com/fhir/claim","value":"9cce3a29-e146-4376-a715-f1145d4c6ba3"}},"relationship":{"coding":[{"system":"https://qa-mis.apeiro-digital.com/fhir/CodeSystem/claim-relation-type","code":"pre-auth"}],"text":"Preauthorization"}}],"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disease"}]}}],"item":[{"sequence":1,"productOrService":{"coding":[{"system":"https://qa-mis.apeiro-digital.com/fhir/CodeSystem/intervention-codes","code":"SHA-06-022","display":"Chemotherapy medicines"}]},"servicedPeriod":{"start":"2025-10-02","end":"2025-10-02"},"quantity":{"value":1},"unitPrice":{"value":0,"currency":"KES"},"factor":1,"net":{"value":0,"currency":"KES"}}],"total":{"value":0,"currency":"KES"}}},{"resource":{"resourceType":"ClaimResponse","id":"69da107f-54f6-4d38-aa9f-f7acafabb921","extension":[{"url":"https://qa-mis.apeiro-digital.com/fhir/StructureDefinition/claim-state-extension","valueCodeableConcept":{"coding":[{"system":"https://qa-mis.apeiro-digital.com/fhir/CodeSystem/claim-state","code":"pending","display":"Pending"}]}}],"status":"active","use":"claim","request":{"reference":"Claim/b125fa4f-4804-459e-8f8e-a9b76613a7cd"},"outcome":"queued"}}]}</t>
  </si>
  <si>
    <t>claim</t>
  </si>
  <si>
    <t>SHA-07-001</t>
  </si>
  <si>
    <t xml:space="preserve"> Management of medical cases</t>
  </si>
  <si>
    <t>970ccba2-c23f-415b-ae2d-bfbf5d4ceadf</t>
  </si>
  <si>
    <t>{"resourceType":"Bundle","id":"970ccba2-c23f-415b-ae2d-bfbf5d4ceadf","meta":{"profile":["https://qa-mis.apeiro-digital.com/fhir/StructureDefinition/bundle|1.0.0"]},"type":"message","timestamp":"2025-10-02T18:22:58.682Z","entry":[{"fullUrl":"https://qa-mis.apeiro-digital.com/fhir/Coverage/CR6283693344046-0-sha-coverage","resource":{"resourceType":"Coverage","id":"CR6283693344046-0-sha-coverage","extension":[{"url":"undefined/schemeCategoryCode","valueString":"CAT-SHA-001"},{"url":"undefined/schemeCategoryName","valueString":"SOCIAL HEALTH AUTHORITY"}],"identifier":[{"use":"official","value":"CR6283693344046-0-sha-coverage"}],"status":"active","beneficiary":{"reference":"https://qa-mis.apeiro-digital.com/fhir/Patient/CR6283693344046-0","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6283693344046-0","resource":{"resourceType":"Patient","id":"CR6283693344046-0","meta":{"profile":["https://qa-mis.apeiro-digital.com/fhir/StructureDefinition/patient|1.0.0"]},"identifier":[{"use":"official","system":"https://qa-mis.apeiro-digital.com/fhir/identifier/shanumber","value":"CR6283693344046-0"},{"use":"official","system":"https://qa-mis.apeiro-digital.com/fhir/identifier/phonenumber","value":"CR6283693344046-0"},{"use":"official","system":"https://qa-mis.apeiro-digital.com/fhir/identifier/nationalid","value":"CR6283693344046-0"},{"use":"official","system":"https://qa-mis.apeiro-digital.com/fhir/identifier/other","value":"CR6283693344046-0"}],"name":[{"text":"ESTHER MWENDE KIMULI","family":"KIMULI","given":["ESTHER","MWENDE"]}],"gender":"female","birthDate":"1990-08-22"}},{"fullUrl":"https://qa-mis.apeiro-digital.com/fhir/Claim/59a5d11b-cb6c-49fc-b326-655127c1c470","resource":{"resourceType":"Claim","id":"90f3dcb6-69de-4ed9-9476-031225d5bac8","extension":[{"url":"https://qa-mis.apeiro-digital.com/fhir/StructureDefinition/extension-patientInvoice","extension":[{"url":"invoiceNumber","valueString":"FUKVC34"},{"url":"invoiceDate","valueDate":"2025-09-01"},{"url":"invoiceAmount","valueMoney":{"value":1000,"currency":"KES"}},{"url":"https://qa-mis.apeiro-digital.com/fhir/StructureDefinition/extension-patient-share","valueMoney":{"value":1000,"currency":"KES"}},{"url":"https://qa-mis.apeiro-digital.com/fhir/StructureDefinition/extension-patientInvoiceIdentifier","valueIdentifier":{"system":"https://qa-mis.apeiro-digital.com/fhir/identifier/patientInvoice","value":"CR6283693344046-0-invoice-1228c388-5837-4070-815c-014d3ddc889e"}}]}],"identifier":[{"system":"https://qa-mis.apeiro-digital.com/fhir/claim","value":"b003767e-538b-48e3-b7d8-5551b30a06e6"}],"status":"active","type":{"coding":[{"system":"http://terminology.hl7.org/CodeSystem/claim-type","code":"institutional"}]},"subType":{"coding":[{"system":"http://terminology.hl7.org/CodeSystem/ex-claimsubtype","code":"ip"}]},"use":"claim","patient":{"reference":"https://qa-mis.apeiro-digital.com/fhir/Patient/CR6283693344046-0"},"billablePeriod":{"start":"2025-04-13T10:40:22+03:00","end":"2025-04-14T12:00:47+03:00"},"created":"2025-09-01","provider":{"reference":"https://qa-mis.apeiro-digital.com/fhir/Organization/FID-22-115390-3"},"priority":{"coding":[{"system":"http://terminology.hl7.org/CodeSystem/processpriority","code":"normal"}]},"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disease"}]}}],"item":[{"sequence":1,"productOrService":{"coding":[{"system":"https://qa-mis.apeiro-digital.com/fhir/CodeSystem/intervention-codes","code":"SHA-07-001","display":" Management of medical cases"}]},"servicedPeriod":{"start":"2025-04-13","end":"2025-04-14"},"quantity":{"value":1},"unitPrice":{"value":1000,"currency":"KES"},"factor":1,"net":{"value":1000,"currency":"KES"}}],"total":{"value":1000,"currency":"KES"}}},{"resource":{"resourceType":"ClaimResponse","id":"15f4f00f-3ba4-4698-86c6-87997fbd98a8","extension":[{"url":"https://qa-mis.apeiro-digital.com/fhir/StructureDefinition/claim-state-extension","valueCodeableConcept":{"coding":[{"system":"https://qa-mis.apeiro-digital.com/fhir/CodeSystem/claim-state","code":"pending","display":"Pending"}]}}],"status":"active","use":"claim","request":{"reference":"Claim/90f3dcb6-69de-4ed9-9476-031225d5bac8"},"outcome":"queued"}}]}</t>
  </si>
  <si>
    <t>35c4f6d3-cd97-47b4-bfea-5af35bbce000</t>
  </si>
  <si>
    <t>Error while processing Beneficiary for claim ID Claim/0d654c80-9998-4139-8975-ef82bf5448ed. Cause: HTTP 409 Conflict: HAPI-0550: HAPI-0823: The operation has failed with a version constraint failure. This generally means that two clients/threads were trying to update the same resource at the same time, and this request was chosen as the failing request.</t>
  </si>
  <si>
    <t>4c0016a2-6125-4dd3-931e-a4b2ff05bc94</t>
  </si>
  <si>
    <t>Approved claims cannot be resubmitted for this claimId: e3ecffd6-62f8-47ca-a27f-d6ff80295f33</t>
  </si>
  <si>
    <t>95b26047-28e4-4467-b84b-9413d338c85b</t>
  </si>
  <si>
    <t>{"resourceType":"Bundle","id":"95b26047-28e4-4467-b84b-9413d338c85b","meta":{"profile":["https://qa-mis.apeiro-digital.com/fhir/StructureDefinition/bundle|1.0.0"]},"type":"message","timestamp":"2025-10-02T18:22:58.686Z","entry":[{"fullUrl":"https://qa-mis.apeiro-digital.com/fhir/Coverage/CR7233884426628-0-sha-coverage","resource":{"resourceType":"Coverage","id":"CR7233884426628-0-sha-coverage","extension":[{"url":"undefined/schemeCategoryCode","valueString":"CAT-SHA-001"},{"url":"undefined/schemeCategoryName","valueString":"SOCIAL HEALTH AUTHORITY"}],"identifier":[{"use":"official","value":"CR7233884426628-0-sha-coverage"}],"status":"active","beneficiary":{"reference":"https://qa-mis.apeiro-digital.com/fhir/Patient/CR7233884426628-0","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7233884426628-0","resource":{"resourceType":"Patient","id":"CR7233884426628-0","meta":{"profile":["https://qa-mis.apeiro-digital.com/fhir/StructureDefinition/patient|1.0.0"]},"identifier":[{"use":"official","system":"https://qa-mis.apeiro-digital.com/fhir/identifier/shanumber","value":"CR7233884426628-0"},{"use":"official","system":"https://qa-mis.apeiro-digital.com/fhir/identifier/phonenumber","value":"CR7233884426628-0"},{"use":"official","system":"https://qa-mis.apeiro-digital.com/fhir/identifier/nationalid","value":"CR7233884426628-0"},{"use":"official","system":"https://qa-mis.apeiro-digital.com/fhir/identifier/other","value":"CR7233884426628-0"}],"name":[{"text":"ALICE KARAMBU","family":"KARAMBU","given":["ALICE"]}],"gender":"female","birthDate":"2019-06-18"}},{"fullUrl":"https://qa-mis.apeiro-digital.com/fhir/Claim/2b1dc1d1-a31c-4964-b9cb-c113fbbed512","resource":{"resourceType":"Claim","id":"e95e400e-5061-4563-ade1-3f398603e4a0","extension":[{"url":"https://qa-mis.apeiro-digital.com/fhir/StructureDefinition/extension-patientInvoice","extension":[{"url":"invoiceNumber","valueString":"FUKVC34"},{"url":"invoiceDate","valueDate":"2025-09-01"},{"url":"invoiceAmount","valueMoney":{"value":1000,"currency":"KES"}},{"url":"https://qa-mis.apeiro-digital.com/fhir/StructureDefinition/extension-patient-share","valueMoney":{"value":1000,"currency":"KES"}},{"url":"https://qa-mis.apeiro-digital.com/fhir/StructureDefinition/extension-patientInvoiceIdentifier","valueIdentifier":{"system":"https://qa-mis.apeiro-digital.com/fhir/identifier/patientInvoice","value":"CR7233884426628-0-invoice-54c22135-117a-42fc-872e-605396f77449"}}]}],"identifier":[{"system":"https://qa-mis.apeiro-digital.com/fhir/claim","value":"27d7508c-035c-4a9b-88d5-66f97e09bf76"}],"status":"active","type":{"coding":[{"system":"http://terminology.hl7.org/CodeSystem/claim-type","code":"institutional"}]},"subType":{"coding":[{"system":"http://terminology.hl7.org/CodeSystem/ex-claimsubtype","code":"ip"}]},"use":"claim","patient":{"reference":"https://qa-mis.apeiro-digital.com/fhir/Patient/CR7233884426628-0"},"billablePeriod":{"start":"2025-04-13T10:40:22+03:00","end":"2025-04-14T12:00:47+03:00"},"created":"2025-09-01","provider":{"reference":"https://qa-mis.apeiro-digital.com/fhir/Organization/FID-22-115390-3"},"priority":{"coding":[{"system":"http://terminology.hl7.org/CodeSystem/processpriority","code":"normal"}]},"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disease"}]}}],"item":[{"sequence":1,"productOrService":{"coding":[{"system":"https://qa-mis.apeiro-digital.com/fhir/CodeSystem/intervention-codes","code":"SHA-07-001","display":" Management of medical cases"}]},"servicedPeriod":{"start":"2025-04-13","end":"2025-04-14"},"quantity":{"value":1},"unitPrice":{"value":1000,"currency":"KES"},"factor":1,"net":{"value":1000,"currency":"KES"}}],"total":{"value":1000,"currency":"KES"}}},{"resource":{"resourceType":"ClaimResponse","id":"fa89249b-20d8-414a-a742-1dc188f81082","extension":[{"url":"https://qa-mis.apeiro-digital.com/fhir/StructureDefinition/claim-state-extension","valueCodeableConcept":{"coding":[{"system":"https://qa-mis.apeiro-digital.com/fhir/CodeSystem/claim-state","code":"pending","display":"Pending"}]}}],"status":"active","use":"claim","request":{"reference":"Claim/e95e400e-5061-4563-ade1-3f398603e4a0"},"outcome":"queued"}}]}</t>
  </si>
  <si>
    <t>e0ad90c8-a31d-4548-8bd6-ef6792905e31</t>
  </si>
  <si>
    <t>Approved claims cannot be resubmitted for this claimId: 69abdb99-74df-42b5-8651-770bc1273d40</t>
  </si>
  <si>
    <t>ed5306b6-f1bf-48a1-a819-5bb3017f538a</t>
  </si>
  <si>
    <t>{"resourceType":"Bundle","id":"ed5306b6-f1bf-48a1-a819-5bb3017f538a","meta":{"profile":["https://qa-mis.apeiro-digital.com/fhir/StructureDefinition/bundle|1.0.0"]},"type":"message","timestamp":"2025-10-02T18:22:58.688Z","entry":[{"fullUrl":"https://qa-mis.apeiro-digital.com/fhir/Coverage/CR2325921975210-2-sha-coverage","resource":{"resourceType":"Coverage","id":"CR2325921975210-2-sha-coverage","extension":[{"url":"undefined/schemeCategoryCode","valueString":"CAT-SHA-001"},{"url":"undefined/schemeCategoryName","valueString":"SOCIAL HEALTH AUTHORITY"}],"identifier":[{"use":"official","value":"CR2325921975210-2-sha-coverage"}],"status":"active","beneficiary":{"reference":"https://qa-mis.apeiro-digital.com/fhir/Patient/CR2325921975210-2","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2325921975210-2","resource":{"resourceType":"Patient","id":"CR2325921975210-2","meta":{"profile":["https://qa-mis.apeiro-digital.com/fhir/StructureDefinition/patient|1.0.0"]},"identifier":[{"use":"official","system":"https://qa-mis.apeiro-digital.com/fhir/identifier/shanumber","value":"CR2325921975210-2"},{"use":"official","system":"https://qa-mis.apeiro-digital.com/fhir/identifier/phonenumber","value":"CR2325921975210-2"},{"use":"official","system":"https://qa-mis.apeiro-digital.com/fhir/identifier/nationalid","value":"CR2325921975210-2"},{"use":"official","system":"https://qa-mis.apeiro-digital.com/fhir/identifier/other","value":"CR2325921975210-2"}],"name":[{"text":"ALICE  KARAMBU","family":"KARAMBU","given":["ALICE"]}],"gender":"female","birthDate":"1985-11-25"}},{"fullUrl":"https://qa-mis.apeiro-digital.com/fhir/Claim/786e9978-52f9-4074-92f1-a828877bbf9e","resource":{"resourceType":"Claim","id":"52a87c6d-d3d4-494d-ac3e-503cf22ace55","extension":[{"url":"https://qa-mis.apeiro-digital.com/fhir/StructureDefinition/extension-patientInvoice","extension":[{"url":"invoiceNumber","valueString":"FUKVC34"},{"url":"invoiceDate","valueDate":"2025-09-01"},{"url":"invoiceAmount","valueMoney":{"value":1000,"currency":"KES"}},{"url":"https://qa-mis.apeiro-digital.com/fhir/StructureDefinition/extension-patient-share","valueMoney":{"value":1000,"currency":"KES"}},{"url":"https://qa-mis.apeiro-digital.com/fhir/StructureDefinition/extension-patientInvoiceIdentifier","valueIdentifier":{"system":"https://qa-mis.apeiro-digital.com/fhir/identifier/patientInvoice","value":"CR2325921975210-2-invoice-8042d91c-6535-4825-9208-052e9e5857fc"}}]}],"identifier":[{"system":"https://qa-mis.apeiro-digital.com/fhir/claim","value":"5bae5bd3-b921-4389-9dfe-e6a2c4596660"}],"status":"active","type":{"coding":[{"system":"http://terminology.hl7.org/CodeSystem/claim-type","code":"institutional"}]},"subType":{"coding":[{"system":"http://terminology.hl7.org/CodeSystem/ex-claimsubtype","code":"ip"}]},"use":"claim","patient":{"reference":"https://qa-mis.apeiro-digital.com/fhir/Patient/CR2325921975210-2"},"billablePeriod":{"start":"2025-04-13T10:40:22+03:00","end":"2025-04-14T12:00:47+03:00"},"created":"2025-09-01","provider":{"reference":"https://qa-mis.apeiro-digital.com/fhir/Organization/FID-22-115390-3"},"priority":{"coding":[{"system":"http://terminology.hl7.org/CodeSystem/processpriority","code":"normal"}]},"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disease"}]}}],"item":[{"sequence":1,"productOrService":{"coding":[{"system":"https://qa-mis.apeiro-digital.com/fhir/CodeSystem/intervention-codes","code":"SHA-07-001","display":" Management of medical cases"}]},"servicedPeriod":{"start":"2025-04-13","end":"2025-04-14"},"quantity":{"value":1},"unitPrice":{"value":1000,"currency":"KES"},"factor":1,"net":{"value":1000,"currency":"KES"}}],"total":{"value":1000,"currency":"KES"}}},{"resource":{"resourceType":"ClaimResponse","id":"ecfee675-ccdd-4ba7-b02f-ee8381cce3a0","extension":[{"url":"https://qa-mis.apeiro-digital.com/fhir/StructureDefinition/claim-state-extension","valueCodeableConcept":{"coding":[{"system":"https://qa-mis.apeiro-digital.com/fhir/CodeSystem/claim-state","code":"pending","display":"Pending"}]}}],"status":"active","use":"claim","request":{"reference":"Claim/52a87c6d-d3d4-494d-ac3e-503cf22ace55"},"outcome":"queued"}}]}</t>
  </si>
  <si>
    <t>72911944-a023-49ad-bd7c-88d4a2f4a9c2</t>
  </si>
  <si>
    <t>{"resourceType":"Bundle","id":"72911944-a023-49ad-bd7c-88d4a2f4a9c2","meta":{"profile":["https://qa-mis.apeiro-digital.com/fhir/StructureDefinition/bundle|1.0.0"]},"type":"message","timestamp":"2025-10-02T18:22:58.689Z","entry":[{"fullUrl":"https://qa-mis.apeiro-digital.com/fhir/Coverage/CR0783440687236-6-sha-coverage","resource":{"resourceType":"Coverage","id":"CR0783440687236-6-sha-coverage","extension":[{"url":"undefined/schemeCategoryCode","valueString":"CAT-SHA-001"},{"url":"undefined/schemeCategoryName","valueString":"SOCIAL HEALTH AUTHORITY"}],"identifier":[{"use":"official","value":"CR0783440687236-6-sha-coverage"}],"status":"active","beneficiary":{"reference":"https://qa-mis.apeiro-digital.com/fhir/Patient/CR0783440687236-6","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0783440687236-6","resource":{"resourceType":"Patient","id":"CR0783440687236-6","meta":{"profile":["https://qa-mis.apeiro-digital.com/fhir/StructureDefinition/patient|1.0.0"]},"identifier":[{"use":"official","system":"https://qa-mis.apeiro-digital.com/fhir/identifier/shanumber","value":"CR0783440687236-6"},{"use":"official","system":"https://qa-mis.apeiro-digital.com/fhir/identifier/phonenumber","value":"CR0783440687236-6"},{"use":"official","system":"https://qa-mis.apeiro-digital.com/fhir/identifier/nationalid","value":"CR0783440687236-6"},{"use":"official","system":"https://qa-mis.apeiro-digital.com/fhir/identifier/other","value":"CR0783440687236-6"}],"name":[{"text":"ALICE  KARAMBU","family":"KARAMBU","given":["ALICE"]}],"gender":"female","birthDate":"1993-11-21"}},{"fullUrl":"https://qa-mis.apeiro-digital.com/fhir/Claim/4fbdd83f-61af-4bda-a890-ffc559fc68cb","resource":{"resourceType":"Claim","id":"c85d5f6c-91f8-4d52-b61e-99aa7f182197","extension":[{"url":"https://qa-mis.apeiro-digital.com/fhir/StructureDefinition/extension-patientInvoice","extension":[{"url":"invoiceNumber","valueString":"FUKVC34"},{"url":"invoiceDate","valueDate":"2025-09-01"},{"url":"invoiceAmount","valueMoney":{"value":1000,"currency":"KES"}},{"url":"https://qa-mis.apeiro-digital.com/fhir/StructureDefinition/extension-patient-share","valueMoney":{"value":1000,"currency":"KES"}},{"url":"https://qa-mis.apeiro-digital.com/fhir/StructureDefinition/extension-patientInvoiceIdentifier","valueIdentifier":{"system":"https://qa-mis.apeiro-digital.com/fhir/identifier/patientInvoice","value":"CR0783440687236-6-invoice-c5a85d4b-8101-48d6-a762-7205a9f72820"}}]}],"identifier":[{"system":"https://qa-mis.apeiro-digital.com/fhir/claim","value":"a6d5e575-ddfa-4514-9afd-d2723e6a5522"}],"status":"active","type":{"coding":[{"system":"http://terminology.hl7.org/CodeSystem/claim-type","code":"institutional"}]},"subType":{"coding":[{"system":"http://terminology.hl7.org/CodeSystem/ex-claimsubtype","code":"ip"}]},"use":"claim","patient":{"reference":"https://qa-mis.apeiro-digital.com/fhir/Patient/CR0783440687236-6"},"billablePeriod":{"start":"2025-04-13T10:40:22+03:00","end":"2025-04-14T12:00:47+03:00"},"created":"2025-09-01","provider":{"reference":"https://qa-mis.apeiro-digital.com/fhir/Organization/FID-22-115390-3"},"priority":{"coding":[{"system":"http://terminology.hl7.org/CodeSystem/processpriority","code":"normal"}]},"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disease"}]}}],"item":[{"sequence":1,"productOrService":{"coding":[{"system":"https://qa-mis.apeiro-digital.com/fhir/CodeSystem/intervention-codes","code":"SHA-07-001","display":" Management of medical cases"}]},"servicedPeriod":{"start":"2025-04-13","end":"2025-04-14"},"quantity":{"value":1},"unitPrice":{"value":1000,"currency":"KES"},"factor":1,"net":{"value":1000,"currency":"KES"}}],"total":{"value":1000,"currency":"KES"}}},{"resource":{"resourceType":"ClaimResponse","id":"f8d32107-97cf-4b71-b6f6-632af4ed23a3","extension":[{"url":"https://qa-mis.apeiro-digital.com/fhir/StructureDefinition/claim-state-extension","valueCodeableConcept":{"coding":[{"system":"https://qa-mis.apeiro-digital.com/fhir/CodeSystem/claim-state","code":"pending","display":"Pending"}]}}],"status":"active","use":"claim","request":{"reference":"Claim/c85d5f6c-91f8-4d52-b61e-99aa7f182197"},"outcome":"queued"}}]}</t>
  </si>
  <si>
    <t>0bca2c8a-b67f-4602-a6cc-cc7a859df769</t>
  </si>
  <si>
    <t>Approved claims cannot be resubmitted for this claimId: be004275-a027-4ab5-ad6b-abc449b9e278</t>
  </si>
  <si>
    <t>a6b88f25-8aca-484a-b240-8850ca9d8908</t>
  </si>
  <si>
    <t>{"resourceType":"Bundle","id":"a6b88f25-8aca-484a-b240-8850ca9d8908","meta":{"profile":["https://qa-mis.apeiro-digital.com/fhir/StructureDefinition/bundle|1.0.0"]},"type":"message","timestamp":"2025-10-02T18:22:58.692Z","entry":[{"fullUrl":"https://qa-mis.apeiro-digital.com/fhir/Coverage/CR0241981506490-7-sha-coverage","resource":{"resourceType":"Coverage","id":"CR0241981506490-7-sha-coverage","extension":[{"url":"undefined/schemeCategoryCode","valueString":"CAT-SHA-001"},{"url":"undefined/schemeCategoryName","valueString":"SOCIAL HEALTH AUTHORITY"}],"identifier":[{"use":"official","value":"CR0241981506490-7-sha-coverage"}],"status":"active","beneficiary":{"reference":"https://qa-mis.apeiro-digital.com/fhir/Patient/CR0241981506490-7","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0241981506490-7","resource":{"resourceType":"Patient","id":"CR0241981506490-7","meta":{"profile":["https://qa-mis.apeiro-digital.com/fhir/StructureDefinition/patient|1.0.0"]},"identifier":[{"use":"official","system":"https://qa-mis.apeiro-digital.com/fhir/identifier/shanumber","value":"CR0241981506490-7"},{"use":"official","system":"https://qa-mis.apeiro-digital.com/fhir/identifier/phonenumber","value":"CR0241981506490-7"},{"use":"official","system":"https://qa-mis.apeiro-digital.com/fhir/identifier/nationalid","value":"CR0241981506490-7"},{"use":"official","system":"https://qa-mis.apeiro-digital.com/fhir/identifier/other","value":"CR0241981506490-7"}],"name":[{"text":"NIMO SULEIMAN ALI","family":"ALI","given":["NIMO","SULEIMAN"]}],"gender":"female","birthDate":"1996-01-10"}},{"fullUrl":"https://qa-mis.apeiro-digital.com/fhir/Claim/23d5a735-d5e1-4cbe-b0c0-39ffeb5539e9","resource":{"resourceType":"Claim","id":"87a5cd8b-3111-470c-8bc6-a7dd06a518fc","extension":[{"url":"https://qa-mis.apeiro-digital.com/fhir/StructureDefinition/extension-patientInvoice","extension":[{"url":"invoiceNumber","valueString":"FUKVC34"},{"url":"invoiceDate","valueDate":"2025-09-01"},{"url":"invoiceAmount","valueMoney":{"value":1000,"currency":"KES"}},{"url":"https://qa-mis.apeiro-digital.com/fhir/StructureDefinition/extension-patient-share","valueMoney":{"value":1000,"currency":"KES"}},{"url":"https://qa-mis.apeiro-digital.com/fhir/StructureDefinition/extension-patientInvoiceIdentifier","valueIdentifier":{"system":"https://qa-mis.apeiro-digital.com/fhir/identifier/patientInvoice","value":"CR0241981506490-7-invoice-92aa6b1b-c4e2-495f-ae69-b81463fcf9ff"}}]}],"identifier":[{"system":"https://qa-mis.apeiro-digital.com/fhir/claim","value":"96285e39-ba53-46ca-b3bd-3bbb6a2fb5df"}],"status":"active","type":{"coding":[{"system":"http://terminology.hl7.org/CodeSystem/claim-type","code":"institutional"}]},"subType":{"coding":[{"system":"http://terminology.hl7.org/CodeSystem/ex-claimsubtype","code":"ip"}]},"use":"claim","patient":{"reference":"https://qa-mis.apeiro-digital.com/fhir/Patient/CR0241981506490-7"},"billablePeriod":{"start":"2025-04-13T10:40:22+03:00","end":"2025-04-14T12:00:47+03:00"},"created":"2025-09-01","provider":{"reference":"https://qa-mis.apeiro-digital.com/fhir/Organization/FID-22-115390-3"},"priority":{"coding":[{"system":"http://terminology.hl7.org/CodeSystem/processpriority","code":"normal"}]},"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disease"}]}}],"item":[{"sequence":1,"productOrService":{"coding":[{"system":"https://qa-mis.apeiro-digital.com/fhir/CodeSystem/intervention-codes","code":"SHA-07-001","display":" Management of medical cases"}]},"servicedPeriod":{"start":"2025-04-13","end":"2025-04-14"},"quantity":{"value":1},"unitPrice":{"value":1000,"currency":"KES"},"factor":1,"net":{"value":1000,"currency":"KES"}}],"total":{"value":1000,"currency":"KES"}}},{"resource":{"resourceType":"ClaimResponse","id":"b34a0ec0-e98a-4276-a020-61ebf77f72e8","extension":[{"url":"https://qa-mis.apeiro-digital.com/fhir/StructureDefinition/claim-state-extension","valueCodeableConcept":{"coding":[{"system":"https://qa-mis.apeiro-digital.com/fhir/CodeSystem/claim-state","code":"pending","display":"Pending"}]}}],"status":"active","use":"claim","request":{"reference":"Claim/87a5cd8b-3111-470c-8bc6-a7dd06a518fc"},"outcome":"queued"}}]}</t>
  </si>
  <si>
    <t>f5c33611-5d48-471a-be91-ae59f12ea91d</t>
  </si>
  <si>
    <t>{"resourceType":"Bundle","id":"f5c33611-5d48-471a-be91-ae59f12ea91d","meta":{"profile":["https://qa-mis.apeiro-digital.com/fhir/StructureDefinition/bundle|1.0.0"]},"type":"message","timestamp":"2025-10-02T18:22:58.693Z","entry":[{"fullUrl":"https://qa-mis.apeiro-digital.com/fhir/Coverage/CR9525318584379-0-sha-coverage","resource":{"resourceType":"Coverage","id":"CR9525318584379-0-sha-coverage","extension":[{"url":"undefined/schemeCategoryCode","valueString":"CAT-SHA-001"},{"url":"undefined/schemeCategoryName","valueString":"SOCIAL HEALTH AUTHORITY"}],"identifier":[{"use":"official","value":"CR9525318584379-0-sha-coverage"}],"status":"active","beneficiary":{"reference":"https://qa-mis.apeiro-digital.com/fhir/Patient/CR9525318584379-0","type":"Patient"}}},{"fullUrl":"https://qa-mis.apeiro-digital.com/fhir/Organization/FID-22-115390-3","resource":{"resourceType":"Organization","id":"FID-22-115390-3","meta":{"profile":["https://qa-mis.apeiro-digital.com/fhir/StructureDefinition/provider-organization|1.0.0"]},"extension":[{"url":"https://qa-mis.apeiro-digital.com/fhir/StructureDefinition/facility-level","valueCodeableConcept":{"coding":[{"system":"https://qa-mis.apeiro-digital.com/fhir/StructureDefinition/facility-level","code":"LEVEL 5","display":"LEVEL 5"}]}}],"identifier":[{"use":"official","system":"https://qa-mis.apeiro-digital.com/fhir/license/provider-license","value":"PR-FHIR"}],"active":true,"type":[{"coding":[{"system":"https://qa-mis.apeiro-digital.com/fhir/terminology/CodeSystem/organization-type","code":"prov"}]}],"name":"THIKA COUNTY REFERRAL HOSPITAL"}},{"fullUrl":"https://qa-mis.apeiro-digital.com/fhir/Patient/CR9525318584379-0","resource":{"resourceType":"Patient","id":"CR9525318584379-0","meta":{"profile":["https://qa-mis.apeiro-digital.com/fhir/StructureDefinition/patient|1.0.0"]},"identifier":[{"use":"official","system":"https://qa-mis.apeiro-digital.com/fhir/identifier/shanumber","value":"CR9525318584379-0"},{"use":"official","system":"https://qa-mis.apeiro-digital.com/fhir/identifier/phonenumber","value":"CR9525318584379-0"},{"use":"official","system":"https://qa-mis.apeiro-digital.com/fhir/identifier/nationalid","value":"CR9525318584379-0"},{"use":"official","system":"https://qa-mis.apeiro-digital.com/fhir/identifier/other","value":"CR9525318584379-0"}],"name":[{"text":"ESTHER NANJALA SIMIYU","family":"SIMIYU","given":["ESTHER","NANJALA"]}],"gender":"female","birthDate":"1999-12-20"}},{"fullUrl":"https://qa-mis.apeiro-digital.com/fhir/Claim/30889ad7-b753-4d40-8a22-c2af58c1bbeb","resource":{"resourceType":"Claim","id":"6678d191-2aee-417c-85b4-9fbed2bd67a0","extension":[{"url":"https://qa-mis.apeiro-digital.com/fhir/StructureDefinition/extension-patientInvoice","extension":[{"url":"invoiceNumber","valueString":"FUKVC34"},{"url":"invoiceDate","valueDate":"2025-09-01"},{"url":"invoiceAmount","valueMoney":{"value":1000,"currency":"KES"}},{"url":"https://qa-mis.apeiro-digital.com/fhir/StructureDefinition/extension-patient-share","valueMoney":{"value":1000,"currency":"KES"}},{"url":"https://qa-mis.apeiro-digital.com/fhir/StructureDefinition/extension-patientInvoiceIdentifier","valueIdentifier":{"system":"https://qa-mis.apeiro-digital.com/fhir/identifier/patientInvoice","value":"CR9525318584379-0-invoice-3cf6785b-9551-4ace-b323-e447afc91c74"}}]}],"identifier":[{"system":"https://qa-mis.apeiro-digital.com/fhir/claim","value":"c6288b4e-43ee-49e2-8366-a05a07d6602f"}],"status":"active","type":{"coding":[{"system":"http://terminology.hl7.org/CodeSystem/claim-type","code":"institutional"}]},"subType":{"coding":[{"system":"http://terminology.hl7.org/CodeSystem/ex-claimsubtype","code":"ip"}]},"use":"claim","patient":{"reference":"https://qa-mis.apeiro-digital.com/fhir/Patient/CR9525318584379-0"},"billablePeriod":{"start":"2025-04-13T10:40:22+03:00","end":"2025-04-14T12:00:47+03:00"},"created":"2025-09-01","provider":{"reference":"https://qa-mis.apeiro-digital.com/fhir/Organization/FID-22-115390-3"},"priority":{"coding":[{"system":"http://terminology.hl7.org/CodeSystem/processpriority","code":"normal"}]},"supportingInfo":[{"sequence":1,"category":{"coding":[{"system":"http://terminology.hl7.org/CodeSystem/claiminformationcategory","code":"attachment","display":"Attachment"}]},"valueAttachment":{"extension":[{"url":"https://qa-mis.apeiro-digital.com/fhir/CodeSystem/attachment-type","valueCodeableConcept":{"coding":[{"system":"https://qa-mis.apeiro-digital.com/fhir/CodeSystem/attachment-type","code":"discharge-summary","display":"Discharge Summary"}]}}],"contentType":"application/pdf","language":"en","url":"https://api-edi.provider.sha.go.ke/media/edi/default.pdf","size":15765,"title":"Claim Attachment.pdf"}},{"sequence":2,"category":{"coding":[{"system":"http://terminology.hl7.org/CodeSystem/claiminformationcategory","code":"attachment","display":"Attachment"}]},"valueAttachment":{"extension":[{"url":"https://qa-mis.apeiro-digital.com/fhir/CodeSystem/attachment-type","valueCodeableConcept":{"coding":[{"system":"https://qa-mis.apeiro-digital.com/fhir/CodeSystem/attachment-type","code":"other","display":"Other"}]}}],"contentType":"application/pdf","language":"en","url":"https://api-edi.provider.sha.go.ke/media/edi/default.pdf","size":15765,"title":"Lab Results.pdf"}}],"diagnosis":[{"sequence":1,"diagnosisCodeableConcept":{"coding":[{"system":"https://qa-mis.apeiro-digital.com/fhir/terminology/CodeSystem/icd-10","code":"BC00","display":"Multiple valve disease"}]}}],"item":[{"sequence":1,"productOrService":{"coding":[{"system":"https://qa-mis.apeiro-digital.com/fhir/CodeSystem/intervention-codes","code":"SHA-07-001","display":" Management of medical cases"}]},"servicedPeriod":{"start":"2025-04-13","end":"2025-04-14"},"quantity":{"value":1},"unitPrice":{"value":1000,"currency":"KES"},"factor":1,"net":{"value":1000,"currency":"KES"}}],"total":{"value":1000,"currency":"KES"}}},{"resource":{"resourceType":"ClaimResponse","id":"f1773cbc-d869-4afe-a2a8-6fa7554eb03f","extension":[{"url":"https://qa-mis.apeiro-digital.com/fhir/StructureDefinition/claim-state-extension","valueCodeableConcept":{"coding":[{"system":"https://qa-mis.apeiro-digital.com/fhir/CodeSystem/claim-state","code":"pending","display":"Pending"}]}}],"status":"active","use":"claim","request":{"reference":"Claim/6678d191-2aee-417c-85b4-9fbed2bd67a0"},"outcome":"queued"}}]}</t>
  </si>
  <si>
    <t>2025-10-02T18:23:19.017Z</t>
  </si>
  <si>
    <t>bb70188c-0317-49d5-baa7-d667dd7c732a</t>
  </si>
  <si>
    <t>Approved claims cannot be resubmitted for this claimId: 48bdfe28-b6cb-4080-8458-74bb1ab0aa87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</si>
</sst>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quot;TRUE&quot;;&quot;TRUE&quot;;&quot;FALSE&quot;"/>
  </numFmts>
  <fonts count="2" x14ac:knownFonts="1">
    <font>
      <color theme="1"/>
      <family val="2"/>
      <scheme val="minor"/>
      <sz val="11"/>
      <name val="Calibri"/>
    </font>
    <font>
      <charset val="1"/>
      <color theme="1"/>
      <family val="2"/>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1" fillId="0" borderId="0" xfId="0" applyNumberFormat="1" applyFont="1"/>
    <xf numFmtId="165" fontId="1" fillId="0" borderId="0" xfId="0" applyNumberFormat="1" applyFont="1"/>
    <xf numFmtId="0" fontId="1" fillId="0" borderId="0" xfId="0" applyFont="1" applyAlignment="1">
      <alignment wrapText="1"/>
    </xf>
    <xf numFmtId="0" fontId="1" fillId="0" borderId="0" xfId="0" applyFont="1" applyAlignment="1">
      <alignment horizontal="left"/>
    </xf>
    <xf numFmtId="164" fontId="1" fillId="0" borderId="0" xfId="0" applyNumberFormat="1" applyFont="1" applyAlignment="1">
      <alignment horizontal="left"/>
    </xf>
    <xf numFmtId="164" fontId="1"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3"/>
  <sheetViews>
    <sheetView workbookViewId="0" zoomScale="100" zoomScaleNormal="100">
      <selection activeCell="Q23" sqref="Q23"/>
    </sheetView>
  </sheetViews>
  <sheetFormatPr defaultRowHeight="15" outlineLevelRow="0" outlineLevelCol="0" x14ac:dyDescent="0.3" defaultColWidth="8.5"/>
  <cols>
    <col min="1" max="1" width="8.796875" customWidth="1"/>
    <col min="2" max="2" width="6.8984375" customWidth="1"/>
    <col min="3" max="3" width="17.8984375" customWidth="1"/>
    <col min="4" max="4" width="25.69921875" customWidth="1"/>
    <col min="6" max="6" width="12.69921875" style="1" customWidth="1"/>
    <col min="7" max="7" width="17.296875" customWidth="1"/>
    <col min="8" max="8" width="18.19921875" customWidth="1"/>
    <col min="13" max="13" width="15.59765625" customWidth="1"/>
    <col min="15" max="15" width="12.3984375" customWidth="1"/>
    <col min="16" max="16" width="13.5" customWidth="1"/>
    <col min="20" max="20" width="16.296875" customWidth="1"/>
    <col min="21" max="21" width="12.796875" customWidth="1"/>
    <col min="23" max="23" width="11.296875" customWidth="1"/>
    <col min="24" max="24" width="11.3984375" customWidth="1"/>
    <col min="25" max="25" width="10.09765625" style="1" customWidth="1"/>
    <col min="16369" max="16384" width="9.296875" customWidth="1"/>
  </cols>
  <sheetData>
    <row r="1" ht="15.6" customHeight="1" spans="1:32" x14ac:dyDescent="0.25">
      <c r="A1" t="s">
        <v>0</v>
      </c>
      <c r="B1" t="s">
        <v>1</v>
      </c>
      <c r="C1" t="s">
        <v>2</v>
      </c>
      <c r="D1" t="s">
        <v>3</v>
      </c>
      <c r="E1" t="s">
        <v>4</v>
      </c>
      <c r="F1" s="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1" t="s">
        <v>24</v>
      </c>
      <c r="Z1" t="s">
        <v>25</v>
      </c>
      <c r="AA1" t="s">
        <v>26</v>
      </c>
      <c r="AB1" t="s">
        <v>27</v>
      </c>
      <c r="AC1" t="s">
        <v>28</v>
      </c>
      <c r="AD1" t="s">
        <v>29</v>
      </c>
      <c r="AE1" t="s">
        <v>30</v>
      </c>
      <c r="AF1" t="s">
        <v>31</v>
      </c>
    </row>
    <row r="2" ht="15.6" customHeight="1" spans="1:32" x14ac:dyDescent="0.25">
      <c r="A2" t="s">
        <v>32</v>
      </c>
      <c r="B2" t="s">
        <v>33</v>
      </c>
      <c r="C2" t="s">
        <v>34</v>
      </c>
      <c r="D2" t="s">
        <v>35</v>
      </c>
      <c r="E2" t="s">
        <v>36</v>
      </c>
      <c r="F2" s="1">
        <v>33107</v>
      </c>
      <c r="G2">
        <v>30360528</v>
      </c>
      <c r="H2" t="s">
        <v>37</v>
      </c>
      <c r="I2" t="s">
        <v>38</v>
      </c>
      <c r="J2" t="s">
        <v>39</v>
      </c>
      <c r="K2">
        <v>5885</v>
      </c>
      <c r="L2" s="2" t="b">
        <f>TRUE()</f>
        <v>1</v>
      </c>
      <c r="M2" s="3" t="s">
        <v>40</v>
      </c>
      <c r="N2" t="s">
        <v>41</v>
      </c>
      <c r="O2" t="s">
        <v>42</v>
      </c>
      <c r="P2" t="s">
        <v>43</v>
      </c>
      <c r="Q2">
        <v>1</v>
      </c>
      <c r="R2">
        <v>1000</v>
      </c>
      <c r="S2">
        <v>1000</v>
      </c>
      <c r="T2" s="4" t="s">
        <v>44</v>
      </c>
      <c r="U2" t="s">
        <v>45</v>
      </c>
      <c r="V2">
        <v>1</v>
      </c>
      <c r="W2" s="4" t="s">
        <v>44</v>
      </c>
      <c r="X2" t="s">
        <v>45</v>
      </c>
      <c r="Y2" s="1">
        <v>45901</v>
      </c>
      <c r="Z2">
        <v>1000</v>
      </c>
      <c r="AA2" t="s">
        <v>46</v>
      </c>
      <c r="AB2" t="s">
        <v>47</v>
      </c>
      <c r="AC2" t="s">
        <v>48</v>
      </c>
      <c r="AD2" t="s">
        <v>49</v>
      </c>
      <c r="AE2" t="s">
        <v>50</v>
      </c>
      <c r="AF2" t="s">
        <v>51</v>
      </c>
    </row>
    <row r="3" ht="15.6" customHeight="1" spans="1:32" x14ac:dyDescent="0.25">
      <c r="A3" t="s">
        <v>32</v>
      </c>
      <c r="B3" t="s">
        <v>33</v>
      </c>
      <c r="C3" t="s">
        <v>52</v>
      </c>
      <c r="D3" t="s">
        <v>53</v>
      </c>
      <c r="E3" t="s">
        <v>54</v>
      </c>
      <c r="F3" s="1">
        <v>41256</v>
      </c>
      <c r="G3">
        <v>30360528</v>
      </c>
      <c r="H3" t="s">
        <v>37</v>
      </c>
      <c r="I3" t="s">
        <v>38</v>
      </c>
      <c r="J3" t="s">
        <v>39</v>
      </c>
      <c r="K3">
        <v>5885</v>
      </c>
      <c r="L3" s="2" t="b">
        <f>TRUE()</f>
        <v>1</v>
      </c>
      <c r="M3" s="3" t="s">
        <v>40</v>
      </c>
      <c r="N3" t="s">
        <v>41</v>
      </c>
      <c r="O3" t="s">
        <v>42</v>
      </c>
      <c r="P3" t="s">
        <v>43</v>
      </c>
      <c r="Q3">
        <v>1</v>
      </c>
      <c r="R3">
        <v>2500</v>
      </c>
      <c r="S3">
        <v>2500</v>
      </c>
      <c r="T3" s="5">
        <v>45758</v>
      </c>
      <c r="U3" s="5">
        <v>45759</v>
      </c>
      <c r="V3">
        <v>1</v>
      </c>
      <c r="W3" s="5">
        <v>45758</v>
      </c>
      <c r="X3" s="5">
        <v>45759</v>
      </c>
      <c r="Y3" s="1">
        <v>45901</v>
      </c>
      <c r="Z3">
        <v>2500</v>
      </c>
      <c r="AA3" t="s">
        <v>46</v>
      </c>
      <c r="AB3" t="s">
        <v>47</v>
      </c>
      <c r="AC3" t="s">
        <v>55</v>
      </c>
      <c r="AD3" t="s">
        <v>56</v>
      </c>
      <c r="AE3" t="s">
        <v>50</v>
      </c>
      <c r="AF3" t="s">
        <v>51</v>
      </c>
    </row>
    <row r="4" ht="15.6" customHeight="1" spans="1:32" x14ac:dyDescent="0.25">
      <c r="A4" t="s">
        <v>32</v>
      </c>
      <c r="B4" t="s">
        <v>33</v>
      </c>
      <c r="C4" t="s">
        <v>57</v>
      </c>
      <c r="D4" t="s">
        <v>58</v>
      </c>
      <c r="E4" t="s">
        <v>36</v>
      </c>
      <c r="F4" s="1">
        <v>25437</v>
      </c>
      <c r="G4">
        <v>30360528</v>
      </c>
      <c r="H4" t="s">
        <v>37</v>
      </c>
      <c r="I4" t="s">
        <v>38</v>
      </c>
      <c r="J4" t="s">
        <v>39</v>
      </c>
      <c r="K4">
        <v>5885</v>
      </c>
      <c r="L4" s="2" t="b">
        <f>TRUE()</f>
        <v>1</v>
      </c>
      <c r="M4" s="3" t="s">
        <v>40</v>
      </c>
      <c r="N4" t="s">
        <v>41</v>
      </c>
      <c r="O4" t="s">
        <v>42</v>
      </c>
      <c r="P4" t="s">
        <v>43</v>
      </c>
      <c r="Q4">
        <v>1</v>
      </c>
      <c r="R4">
        <v>2500</v>
      </c>
      <c r="S4">
        <v>2500</v>
      </c>
      <c r="T4" s="5">
        <v>45758</v>
      </c>
      <c r="U4" s="5">
        <v>45759</v>
      </c>
      <c r="V4">
        <v>1</v>
      </c>
      <c r="W4" s="5">
        <v>45758</v>
      </c>
      <c r="X4" s="5">
        <v>45759</v>
      </c>
      <c r="Y4" s="1">
        <v>45901</v>
      </c>
      <c r="Z4">
        <v>2500</v>
      </c>
      <c r="AA4" t="s">
        <v>46</v>
      </c>
      <c r="AB4" t="s">
        <v>47</v>
      </c>
      <c r="AC4" t="s">
        <v>59</v>
      </c>
      <c r="AD4" t="s">
        <v>60</v>
      </c>
      <c r="AE4" t="s">
        <v>50</v>
      </c>
      <c r="AF4" t="s">
        <v>51</v>
      </c>
    </row>
    <row r="5" ht="15.6" customHeight="1" spans="1:32" x14ac:dyDescent="0.25">
      <c r="A5" t="s">
        <v>32</v>
      </c>
      <c r="B5" t="s">
        <v>33</v>
      </c>
      <c r="C5" t="s">
        <v>61</v>
      </c>
      <c r="D5" t="s">
        <v>53</v>
      </c>
      <c r="E5" t="s">
        <v>36</v>
      </c>
      <c r="F5" s="1">
        <v>43634</v>
      </c>
      <c r="G5">
        <v>30360528</v>
      </c>
      <c r="H5" t="s">
        <v>37</v>
      </c>
      <c r="I5" t="s">
        <v>38</v>
      </c>
      <c r="J5" t="s">
        <v>39</v>
      </c>
      <c r="K5">
        <v>5885</v>
      </c>
      <c r="L5" s="2" t="b">
        <f>TRUE()</f>
        <v>1</v>
      </c>
      <c r="M5" s="3" t="s">
        <v>40</v>
      </c>
      <c r="N5" t="s">
        <v>41</v>
      </c>
      <c r="O5" t="s">
        <v>42</v>
      </c>
      <c r="P5" t="s">
        <v>43</v>
      </c>
      <c r="Q5">
        <v>1</v>
      </c>
      <c r="R5">
        <v>2500</v>
      </c>
      <c r="S5">
        <v>2500</v>
      </c>
      <c r="T5" s="5">
        <v>45758</v>
      </c>
      <c r="U5" s="5">
        <v>45759</v>
      </c>
      <c r="V5">
        <v>1</v>
      </c>
      <c r="W5" s="5">
        <v>45758</v>
      </c>
      <c r="X5" s="5">
        <v>45759</v>
      </c>
      <c r="Y5" s="1">
        <v>45901</v>
      </c>
      <c r="Z5">
        <v>2500</v>
      </c>
      <c r="AA5" t="s">
        <v>46</v>
      </c>
      <c r="AB5" t="s">
        <v>47</v>
      </c>
      <c r="AC5" t="s">
        <v>62</v>
      </c>
      <c r="AD5" t="s">
        <v>63</v>
      </c>
      <c r="AE5" t="s">
        <v>50</v>
      </c>
      <c r="AF5" t="s">
        <v>51</v>
      </c>
    </row>
    <row r="6" ht="15.6" customHeight="1" spans="1:32" x14ac:dyDescent="0.25">
      <c r="A6" t="s">
        <v>32</v>
      </c>
      <c r="B6" t="s">
        <v>33</v>
      </c>
      <c r="C6" t="s">
        <v>64</v>
      </c>
      <c r="D6" t="s">
        <v>53</v>
      </c>
      <c r="E6" t="s">
        <v>54</v>
      </c>
      <c r="F6" s="1">
        <v>24659</v>
      </c>
      <c r="G6">
        <v>30360528</v>
      </c>
      <c r="H6" t="s">
        <v>37</v>
      </c>
      <c r="I6" t="s">
        <v>38</v>
      </c>
      <c r="J6" t="s">
        <v>39</v>
      </c>
      <c r="K6">
        <v>5885</v>
      </c>
      <c r="L6" s="2" t="b">
        <f>TRUE()</f>
        <v>1</v>
      </c>
      <c r="M6" s="3" t="s">
        <v>40</v>
      </c>
      <c r="N6" t="s">
        <v>41</v>
      </c>
      <c r="O6" t="s">
        <v>42</v>
      </c>
      <c r="P6" t="s">
        <v>43</v>
      </c>
      <c r="Q6">
        <v>1</v>
      </c>
      <c r="R6">
        <v>2500</v>
      </c>
      <c r="S6">
        <v>2500</v>
      </c>
      <c r="T6" s="5">
        <v>45758</v>
      </c>
      <c r="U6" s="5">
        <v>45759</v>
      </c>
      <c r="V6">
        <v>1</v>
      </c>
      <c r="W6" s="5">
        <v>45758</v>
      </c>
      <c r="X6" s="5">
        <v>45759</v>
      </c>
      <c r="Y6" s="1">
        <v>45901</v>
      </c>
      <c r="Z6">
        <v>2500</v>
      </c>
      <c r="AA6" t="s">
        <v>46</v>
      </c>
      <c r="AB6" t="s">
        <v>47</v>
      </c>
      <c r="AC6" t="s">
        <v>65</v>
      </c>
      <c r="AD6" t="s">
        <v>66</v>
      </c>
      <c r="AE6" t="s">
        <v>50</v>
      </c>
      <c r="AF6" t="s">
        <v>51</v>
      </c>
    </row>
    <row r="7" ht="15.6" customHeight="1" spans="1:32" x14ac:dyDescent="0.25">
      <c r="A7" t="s">
        <v>32</v>
      </c>
      <c r="B7" t="s">
        <v>33</v>
      </c>
      <c r="C7" t="s">
        <v>67</v>
      </c>
      <c r="D7" t="s">
        <v>68</v>
      </c>
      <c r="E7" t="s">
        <v>36</v>
      </c>
      <c r="F7" s="1">
        <v>31376</v>
      </c>
      <c r="G7">
        <v>30360528</v>
      </c>
      <c r="H7" t="s">
        <v>37</v>
      </c>
      <c r="I7" t="s">
        <v>38</v>
      </c>
      <c r="J7" t="s">
        <v>39</v>
      </c>
      <c r="K7">
        <v>5885</v>
      </c>
      <c r="L7" s="2" t="b">
        <f>TRUE()</f>
        <v>1</v>
      </c>
      <c r="M7" s="3" t="s">
        <v>40</v>
      </c>
      <c r="N7" t="s">
        <v>41</v>
      </c>
      <c r="O7" t="s">
        <v>42</v>
      </c>
      <c r="P7" t="s">
        <v>43</v>
      </c>
      <c r="Q7">
        <v>1</v>
      </c>
      <c r="R7">
        <v>2500</v>
      </c>
      <c r="S7">
        <v>2500</v>
      </c>
      <c r="T7" s="5">
        <v>45758</v>
      </c>
      <c r="U7" s="5">
        <v>45759</v>
      </c>
      <c r="V7">
        <v>1</v>
      </c>
      <c r="W7" s="5">
        <v>45758</v>
      </c>
      <c r="X7" s="5">
        <v>45759</v>
      </c>
      <c r="Y7" s="1">
        <v>45901</v>
      </c>
      <c r="Z7">
        <v>2500</v>
      </c>
      <c r="AA7" t="s">
        <v>46</v>
      </c>
      <c r="AB7" t="s">
        <v>47</v>
      </c>
      <c r="AC7" t="s">
        <v>69</v>
      </c>
      <c r="AD7" t="s">
        <v>70</v>
      </c>
      <c r="AE7" t="s">
        <v>50</v>
      </c>
      <c r="AF7" t="s">
        <v>51</v>
      </c>
    </row>
    <row r="8" ht="15.6" customHeight="1" spans="1:32" x14ac:dyDescent="0.25">
      <c r="A8" t="s">
        <v>32</v>
      </c>
      <c r="B8" t="s">
        <v>33</v>
      </c>
      <c r="C8" t="s">
        <v>71</v>
      </c>
      <c r="D8" t="s">
        <v>68</v>
      </c>
      <c r="E8" t="s">
        <v>36</v>
      </c>
      <c r="F8" s="1">
        <v>34294</v>
      </c>
      <c r="G8">
        <v>30360528</v>
      </c>
      <c r="H8" t="s">
        <v>37</v>
      </c>
      <c r="I8" t="s">
        <v>38</v>
      </c>
      <c r="J8" t="s">
        <v>39</v>
      </c>
      <c r="K8">
        <v>5885</v>
      </c>
      <c r="L8" s="2" t="b">
        <f>TRUE()</f>
        <v>1</v>
      </c>
      <c r="M8" s="3" t="s">
        <v>40</v>
      </c>
      <c r="N8" t="s">
        <v>41</v>
      </c>
      <c r="O8" t="s">
        <v>42</v>
      </c>
      <c r="P8" t="s">
        <v>43</v>
      </c>
      <c r="Q8">
        <v>1</v>
      </c>
      <c r="R8">
        <v>2500</v>
      </c>
      <c r="S8">
        <v>2500</v>
      </c>
      <c r="T8" s="5">
        <v>45758</v>
      </c>
      <c r="U8" s="5">
        <v>45759</v>
      </c>
      <c r="V8">
        <v>1</v>
      </c>
      <c r="W8" s="5">
        <v>45758</v>
      </c>
      <c r="X8" s="5">
        <v>45759</v>
      </c>
      <c r="Y8" s="1">
        <v>45901</v>
      </c>
      <c r="Z8">
        <v>2500</v>
      </c>
      <c r="AA8" t="s">
        <v>46</v>
      </c>
      <c r="AB8" t="s">
        <v>72</v>
      </c>
      <c r="AD8" t="s">
        <v>73</v>
      </c>
      <c r="AE8" t="e">
        <v>&lt;!DOCTYPE html&gt;
&lt;!--[if lt IE 7]&gt; &lt;html class="no-js ie6 oldie" lang="en-US"&gt; &lt;![endif]--&gt;
&lt;!--[if IE 7]&gt;    &lt;html class="no-js ie7 oldie" lang="en-US"&gt; &lt;![endif]--&gt;
&lt;!--[if IE 8]&gt;    &lt;html class="no-js ie8 oldie" lang="en-US"&gt; &lt;![endif]--&gt;
&lt;!--[if gt IE 8]&gt;&lt;!--&gt; &lt;html class="no-js" lang="en-US"&gt; &lt;!--&lt;![endif]--&gt;
&lt;head&gt;
&lt;title&gt;apeiro-digital.com | 522: Connection timed out&lt;/title&gt;
&lt;meta charset="UTF-8" /&gt;
&lt;meta http-equiv="Content-Type" content="text/html; charset=UTF-8" /&gt;
&lt;meta http-equiv="X-UA-Compatible" content="IE=Edge" /&gt;
&lt;meta name="robots" content="noindex, nofollow" /&gt;
&lt;meta name="viewport" content="width=device-width,initial-scale=1" /&gt;
&lt;link rel="stylesheet" id="cf_styles-css" href="/cdn-cgi/styles/main.css" /&gt;
&lt;/head&gt;
&lt;body&gt;
&lt;div id="cf-wrapper"&gt;
    &lt;div id="cf-error-details" class="p-0"&gt;
        &lt;header class="mx-auto pt-10 lg:pt-6 lg:px-8 w-240 lg:w-full mb-8"&gt;
            &lt;h1 class="inline-block sm:block sm:mb-2 font-light text-60 lg:text-4xl text-black-dark leading-tight mr-2"&gt;
                &lt;span class="inline-block"&gt;Connection timed out&lt;/span&gt;
                &lt;span class="code-label"&gt;Error code 522&lt;/span&gt;
            &lt;/h1&gt;
            &lt;div&gt;
                Visit &lt;a href="https://www.cloudflare.com/5xx-error-landing?utm_source=errorcode_522&amp;utm_campaign=qa-payers.apeiro-digital.com" target="_blank" rel="noopener noreferrer"&gt;cloudflare.com&lt;/a&gt; for more information.
            &lt;/div&gt;
            &lt;div class="mt-3"&gt;2025-10-02 18:23:20 UTC&lt;/div&gt;
        &lt;/header&gt;
        &lt;div class="my-8 bg-gradient-gray"&gt;
            &lt;div class="w-240 lg:w-full mx-auto"&gt;
                &lt;div class="clearfix md:px-8"&gt;
                    &lt;div id="cf-browser-status" class=" relative w-1/3 md:w-full py-15 md:p-0 md:py-8 md:text-left md:border-solid md:border-0 md:border-b md:border-gray-400 overflow-hidden float-left md:float-none text-center"&gt;
  &lt;div class="relative mb-10 md:m-0"&gt;
    &lt;span class="cf-icon-browser block md:hidden h-20 bg-center bg-no-repeat"&gt;&lt;/span&gt;
    &lt;span class="cf-icon-ok w-12 h-12 absolute left-1/2 md:left-auto md:right-0 md:top-0 -ml-6 -bottom-4"&gt;&lt;/span&gt;
  &lt;/div&gt;
  &lt;span class="md:block w-full truncate"&gt;You&lt;/span&gt;
  &lt;h3 class="md:inline-block mt-3 md:mt-0 text-2xl text-gray-600 font-light leading-1.3"&gt;
    Browser
  &lt;/h3&gt;
  &lt;span class="leading-1.3 text-2xl text-green-success"&gt;Working&lt;/span&gt;
&lt;/div&gt;
                    &lt;div id="cf-cloudflare-status" class=" relative w-1/3 md:w-full py-15 md:p-0 md:py-8 md:text-left md:border-solid md:border-0 md:border-b md:border-gray-400 overflow-hidden float-left md:float-none text-center"&gt;
  &lt;div class="relative mb-10 md:m-0"&gt;
    &lt;a href="https://www.cloudflare.com/5xx-error-landing?utm_source=errorcode_522&amp;#38;utm_campaign=qa-payers.apeiro-digital.com" target="_blank" rel="noopener noreferrer"&gt;
    &lt;span class="cf-icon-cloud block md:hidden h-20 bg-center bg-no-repeat"&gt;&lt;/span&gt;
    &lt;span class="cf-icon-ok w-12 h-12 absolute left-1/2 md:left-auto md:right-0 md:top-0 -ml-6 -bottom-4"&gt;&lt;/span&gt;
    &lt;/a&gt;
  &lt;/div&gt;
  &lt;span class="md:block w-full truncate"&gt;Nairobi&lt;/span&gt;
  &lt;h3 class="md:inline-block mt-3 md:mt-0 text-2xl text-gray-600 font-light leading-1.3"&gt;
  &lt;a href="https://www.cloudflare.com/5xx-error-landing?utm_source=errorcode_522&amp;utm_campaign=qa-payers.apeiro-digital.com" target="_blank" rel="noopener noreferrer"&gt;
    Cloudflare
  &lt;/a&gt;
  &lt;/h3&gt;
  &lt;span class="leading-1.3 text-2xl text-green-success"&gt;Working&lt;/span&gt;
&lt;/div&gt;
                    &lt;div id="cf-host-status" class="cf-error-source relative w-1/3 md:w-full py-15 md:p-0 md:py-8 md:text-left md:border-solid md:border-0 md:border-b md:border-gray-400 overflow-hidden float-left md:float-none text-center"&gt;
  &lt;div class="relative mb-10 md:m-0"&gt;
    &lt;span class="cf-icon-server block md:hidden h-20 bg-center bg-no-repeat"&gt;&lt;/span&gt;
    &lt;span class="cf-icon-error w-12 h-12 absolute left-1/2 md:left-auto md:right-0 md:top-0 -ml-6 -bottom-4"&gt;&lt;/span&gt;
  &lt;/div&gt;
  &lt;span class="md:block w-full truncate"&gt;qa-payers.apeiro-digital.com&lt;/span&gt;
  &lt;h3 class="md:inline-block mt-3 md:mt-0 text-2xl text-gray-600 font-light leading-1.3"&gt;
    Host
  &lt;/h3&gt;
  &lt;span class="leading-1.3 text-2xl text-red-error"&gt;Error&lt;/span&gt;
&lt;/div&gt;
                &lt;/div&gt;
            &lt;/div&gt;
        &lt;/div&gt;
        &lt;div class="w-240 lg:w-full mx-auto mb-8 lg:px-8"&gt;
            &lt;div class="clearfix"&gt;
                &lt;div class="w-1/2 md:w-full float-left pr-6 md:pb-10 md:pr-0 leading-relaxed"&gt;
                    &lt;h2 class="text-3xl font-normal leading-1.3 mb-4"&gt;What happened?&lt;/h2&gt;
                    &lt;p&gt;The initial connection between Cloudflare's network and the origin web server timed out. As a result, the web page can not be displayed.&lt;/p&gt;
                &lt;/div&gt;
                &lt;div class="w-1/2 md:w-full float-left leading-relaxed"&gt;
                    &lt;h2 class="text-3xl font-normal leading-1.3 mb-4"&gt;What can I do?&lt;/h2&gt;
                &lt;h3 class="text-15 font-semibold mb-2"&gt;If you're a visitor of this website:&lt;/h3&gt;
                &lt;p class="mb-6"&gt;Please try again in a few minutes.&lt;/p&gt;
                &lt;h3 class="text-15 font-semibold mb-2"&gt;If you're the owner of this website:&lt;/h3&gt;
                &lt;p&gt;&lt;span&gt;Contact your hosting provider letting them know your web server is not completing requests. An Error 522 means that the request was able to connect to your web server, but that the request didn't finish. The most likely cause is that something on your server is hogging resources.&lt;/span&gt; &lt;a rel="noopener noreferrer" href="https://developers.cloudflare.com/support/troubleshooting/http-status-codes/cloudflare-5xx-errors/error-522/"&gt;Additional troubleshooting information here.&lt;/a&gt;&lt;/p&gt;
                &lt;/div&gt;
            &lt;/div&gt;
        &lt;/div&gt;
        &lt;div class="cf-error-footer cf-wrapper w-240 lg:w-full py-10 sm:py-4 sm:px-8 mx-auto text-center sm:text-left border-solid border-0 border-t border-gray-300"&gt;
    &lt;p class="text-13"&gt;
      &lt;span class="cf-footer-item sm:block sm:mb-1"&gt;Cloudflare Ray ID: &lt;strong class="font-semibold"&gt;98863a7dcc555bc5&lt;/strong&gt;&lt;/span&gt;
      &lt;span class="cf-footer-separator sm:hidden"&gt;&amp;bull;&lt;/span&gt;
      &lt;span id="cf-footer-item-ip" class="cf-footer-item hidden sm:block sm:mb-1"&gt;
        Your IP:
        &lt;button type="button" id="cf-footer-ip-reveal" class="cf-footer-ip-reveal-btn"&gt;Click to reveal&lt;/button&gt;
        &lt;span class="hidden" id="cf-footer-ip"&gt;102.140.210.172&lt;/span&gt;
        &lt;span class="cf-footer-separator sm:hidden"&gt;&amp;bull;&lt;/span&gt;
      &lt;/span&gt;
      &lt;span class="cf-footer-item sm:block sm:mb-1"&gt;&lt;span&gt;Performance &amp;amp; security by&lt;/span&gt; &lt;a rel="noopener noreferrer" href="https://www.cloudflare.com/5xx-error-landing?utm_source=errorcode_522&amp;#38;utm_campaign=qa-payers.apeiro-digital.com" id="brand_link" target="_blank"&gt;Cloudflare&lt;/a&gt;&lt;/span&gt;
    &lt;/p&gt;
    &lt;script&gt;(function(){function d(){var b=a.getElementById("cf-footer-item-ip"),c=a.getElementById("cf-footer-ip-reveal");b&amp;&amp;"classList"in b&amp;&amp;(b.classList.remove("hidden"),c.addEventListener("click",function(){c.classList.add("hidden");a.getElementById("cf-footer-ip").classList.remove("hidden")}))}var a=document;document.addEventListener&amp;&amp;a.addEventListener("DOMContentLoaded",d)})();&lt;/script&gt;
  &lt;/div&gt;&lt;!-- /.error-footer --&gt;
    &lt;/div&gt;
&lt;/div&gt;
&lt;/body&gt;
&lt;/html&gt;</v>
      </c>
      <c r="AF8" t="s">
        <v>51</v>
      </c>
    </row>
    <row r="9" ht="15.6" customHeight="1" spans="1:32" x14ac:dyDescent="0.25">
      <c r="A9" t="s">
        <v>32</v>
      </c>
      <c r="B9" t="s">
        <v>33</v>
      </c>
      <c r="C9" t="s">
        <v>74</v>
      </c>
      <c r="D9" t="s">
        <v>75</v>
      </c>
      <c r="E9" t="s">
        <v>36</v>
      </c>
      <c r="F9" s="1">
        <v>34700</v>
      </c>
      <c r="G9">
        <v>30360528</v>
      </c>
      <c r="H9" t="s">
        <v>37</v>
      </c>
      <c r="I9" t="s">
        <v>38</v>
      </c>
      <c r="J9" t="s">
        <v>39</v>
      </c>
      <c r="K9">
        <v>5885</v>
      </c>
      <c r="L9" s="2" t="b">
        <f>TRUE()</f>
        <v>1</v>
      </c>
      <c r="M9" s="3" t="s">
        <v>40</v>
      </c>
      <c r="N9" t="s">
        <v>41</v>
      </c>
      <c r="O9" t="s">
        <v>42</v>
      </c>
      <c r="P9" t="s">
        <v>43</v>
      </c>
      <c r="Q9">
        <v>1</v>
      </c>
      <c r="R9">
        <v>2500</v>
      </c>
      <c r="S9">
        <v>2500</v>
      </c>
      <c r="T9" s="5">
        <v>45758</v>
      </c>
      <c r="U9" s="5">
        <v>45759</v>
      </c>
      <c r="V9">
        <v>1</v>
      </c>
      <c r="W9" s="5">
        <v>45758</v>
      </c>
      <c r="X9" s="5">
        <v>45759</v>
      </c>
      <c r="Y9" s="1">
        <v>45901</v>
      </c>
      <c r="Z9">
        <v>2500</v>
      </c>
      <c r="AA9" t="s">
        <v>46</v>
      </c>
      <c r="AB9" t="s">
        <v>47</v>
      </c>
      <c r="AC9" t="s">
        <v>76</v>
      </c>
      <c r="AD9" t="s">
        <v>77</v>
      </c>
      <c r="AE9" t="s">
        <v>50</v>
      </c>
      <c r="AF9" t="s">
        <v>51</v>
      </c>
    </row>
    <row r="10" ht="15.6" customHeight="1" spans="1:32" x14ac:dyDescent="0.25">
      <c r="A10" t="s">
        <v>32</v>
      </c>
      <c r="B10" t="s">
        <v>33</v>
      </c>
      <c r="C10" t="s">
        <v>78</v>
      </c>
      <c r="D10" t="s">
        <v>79</v>
      </c>
      <c r="E10" t="s">
        <v>36</v>
      </c>
      <c r="F10" s="1">
        <v>35074</v>
      </c>
      <c r="G10">
        <v>30360528</v>
      </c>
      <c r="H10" t="s">
        <v>37</v>
      </c>
      <c r="I10" t="s">
        <v>38</v>
      </c>
      <c r="J10" t="s">
        <v>39</v>
      </c>
      <c r="K10">
        <v>5885</v>
      </c>
      <c r="L10" s="2" t="b">
        <f>TRUE()</f>
        <v>1</v>
      </c>
      <c r="M10" s="3" t="s">
        <v>40</v>
      </c>
      <c r="N10" t="s">
        <v>41</v>
      </c>
      <c r="O10" t="s">
        <v>42</v>
      </c>
      <c r="P10" t="s">
        <v>43</v>
      </c>
      <c r="Q10">
        <v>1</v>
      </c>
      <c r="R10">
        <v>2500</v>
      </c>
      <c r="S10">
        <v>2500</v>
      </c>
      <c r="T10" s="5">
        <v>45758</v>
      </c>
      <c r="U10" s="5">
        <v>45759</v>
      </c>
      <c r="V10">
        <v>1</v>
      </c>
      <c r="W10" s="5">
        <v>45758</v>
      </c>
      <c r="X10" s="5">
        <v>45759</v>
      </c>
      <c r="Y10" s="1">
        <v>45901</v>
      </c>
      <c r="Z10">
        <v>2500</v>
      </c>
      <c r="AA10" t="s">
        <v>46</v>
      </c>
      <c r="AB10" t="s">
        <v>47</v>
      </c>
      <c r="AC10" t="s">
        <v>80</v>
      </c>
      <c r="AD10" t="s">
        <v>81</v>
      </c>
      <c r="AE10" t="s">
        <v>50</v>
      </c>
      <c r="AF10" t="s">
        <v>51</v>
      </c>
    </row>
    <row r="11" ht="15.6" customHeight="1" spans="1:32" x14ac:dyDescent="0.25">
      <c r="A11" t="s">
        <v>32</v>
      </c>
      <c r="B11" t="s">
        <v>33</v>
      </c>
      <c r="C11" t="s">
        <v>82</v>
      </c>
      <c r="D11" t="s">
        <v>83</v>
      </c>
      <c r="E11" t="s">
        <v>36</v>
      </c>
      <c r="F11" s="1">
        <v>36514</v>
      </c>
      <c r="G11">
        <v>30360528</v>
      </c>
      <c r="H11" t="s">
        <v>37</v>
      </c>
      <c r="I11" t="s">
        <v>38</v>
      </c>
      <c r="J11" t="s">
        <v>39</v>
      </c>
      <c r="K11">
        <v>5885</v>
      </c>
      <c r="L11" s="2" t="b">
        <f>TRUE()</f>
        <v>1</v>
      </c>
      <c r="M11" s="3" t="s">
        <v>40</v>
      </c>
      <c r="N11" t="s">
        <v>41</v>
      </c>
      <c r="O11" t="s">
        <v>42</v>
      </c>
      <c r="P11" t="s">
        <v>43</v>
      </c>
      <c r="Q11">
        <v>1</v>
      </c>
      <c r="R11">
        <v>2500</v>
      </c>
      <c r="S11">
        <v>2500</v>
      </c>
      <c r="T11" s="5">
        <v>45758</v>
      </c>
      <c r="U11" s="5">
        <v>45759</v>
      </c>
      <c r="V11">
        <v>1</v>
      </c>
      <c r="W11" s="5">
        <v>45758</v>
      </c>
      <c r="X11" s="5">
        <v>45759</v>
      </c>
      <c r="Y11" s="1">
        <v>45901</v>
      </c>
      <c r="Z11">
        <v>2500</v>
      </c>
      <c r="AA11" t="s">
        <v>46</v>
      </c>
      <c r="AB11" t="s">
        <v>47</v>
      </c>
      <c r="AC11" t="s">
        <v>84</v>
      </c>
      <c r="AD11" t="s">
        <v>85</v>
      </c>
      <c r="AE11" t="s">
        <v>50</v>
      </c>
      <c r="AF11" t="s">
        <v>51</v>
      </c>
    </row>
    <row r="12" ht="15" customHeight="1" spans="1:32" x14ac:dyDescent="0.25">
      <c r="A12" t="s">
        <v>32</v>
      </c>
      <c r="B12" t="s">
        <v>33</v>
      </c>
      <c r="C12" t="s">
        <v>86</v>
      </c>
      <c r="D12" t="s">
        <v>53</v>
      </c>
      <c r="E12" t="s">
        <v>36</v>
      </c>
      <c r="F12" s="1">
        <v>45589</v>
      </c>
      <c r="G12">
        <v>30360528</v>
      </c>
      <c r="H12" t="s">
        <v>37</v>
      </c>
      <c r="I12" t="s">
        <v>38</v>
      </c>
      <c r="J12" t="s">
        <v>39</v>
      </c>
      <c r="K12">
        <v>5885</v>
      </c>
      <c r="L12" s="2" t="b">
        <f>TRUE()</f>
        <v>1</v>
      </c>
      <c r="M12" s="3" t="s">
        <v>40</v>
      </c>
      <c r="N12" t="s">
        <v>41</v>
      </c>
      <c r="O12" t="s">
        <v>42</v>
      </c>
      <c r="P12" t="s">
        <v>43</v>
      </c>
      <c r="Q12">
        <v>1</v>
      </c>
      <c r="R12">
        <v>2500</v>
      </c>
      <c r="S12">
        <v>2500</v>
      </c>
      <c r="T12" s="5">
        <v>45758</v>
      </c>
      <c r="U12" s="5">
        <v>45759</v>
      </c>
      <c r="V12">
        <v>1</v>
      </c>
      <c r="W12" s="5">
        <v>45758</v>
      </c>
      <c r="X12" s="5">
        <v>45759</v>
      </c>
      <c r="Y12" s="1">
        <v>45901</v>
      </c>
      <c r="Z12">
        <v>2500</v>
      </c>
      <c r="AA12" t="s">
        <v>46</v>
      </c>
      <c r="AB12" t="s">
        <v>47</v>
      </c>
      <c r="AC12" t="s">
        <v>87</v>
      </c>
      <c r="AD12" t="s">
        <v>88</v>
      </c>
      <c r="AE12" t="s">
        <v>50</v>
      </c>
      <c r="AF12" t="s">
        <v>51</v>
      </c>
    </row>
    <row r="13" ht="15" customHeight="1" spans="1:32" x14ac:dyDescent="0.25">
      <c r="A13" t="s">
        <v>32</v>
      </c>
      <c r="B13" t="s">
        <v>33</v>
      </c>
      <c r="C13" t="s">
        <v>34</v>
      </c>
      <c r="D13" t="s">
        <v>35</v>
      </c>
      <c r="E13" t="s">
        <v>36</v>
      </c>
      <c r="F13" s="1">
        <v>33107</v>
      </c>
      <c r="G13">
        <v>30360528</v>
      </c>
      <c r="H13" t="s">
        <v>37</v>
      </c>
      <c r="I13" t="s">
        <v>38</v>
      </c>
      <c r="J13" t="s">
        <v>39</v>
      </c>
      <c r="K13">
        <v>5885</v>
      </c>
      <c r="L13" s="2" t="b">
        <f>TRUE()</f>
        <v>1</v>
      </c>
      <c r="M13" s="3" t="s">
        <v>89</v>
      </c>
      <c r="N13" t="s">
        <v>41</v>
      </c>
      <c r="O13" t="s">
        <v>90</v>
      </c>
      <c r="P13" t="s">
        <v>91</v>
      </c>
      <c r="Q13">
        <v>1</v>
      </c>
      <c r="R13">
        <v>1000</v>
      </c>
      <c r="S13">
        <v>1000</v>
      </c>
      <c r="T13" s="5">
        <v>45760</v>
      </c>
      <c r="U13" s="6">
        <v>45761</v>
      </c>
      <c r="V13">
        <v>1</v>
      </c>
      <c r="W13" s="5">
        <v>45760</v>
      </c>
      <c r="X13" s="6">
        <v>45761</v>
      </c>
      <c r="Y13" s="1">
        <v>45901</v>
      </c>
      <c r="Z13">
        <v>1000</v>
      </c>
      <c r="AA13" t="s">
        <v>46</v>
      </c>
      <c r="AB13" t="s">
        <v>47</v>
      </c>
      <c r="AC13" t="s">
        <v>92</v>
      </c>
      <c r="AD13" t="s">
        <v>93</v>
      </c>
      <c r="AE13" t="s">
        <v>50</v>
      </c>
      <c r="AF13" t="s">
        <v>51</v>
      </c>
    </row>
    <row r="14" ht="15" customHeight="1" spans="1:32" x14ac:dyDescent="0.25">
      <c r="A14" t="s">
        <v>32</v>
      </c>
      <c r="B14" t="s">
        <v>33</v>
      </c>
      <c r="C14" t="s">
        <v>52</v>
      </c>
      <c r="D14" t="s">
        <v>53</v>
      </c>
      <c r="E14" t="s">
        <v>54</v>
      </c>
      <c r="F14" s="1">
        <v>41256</v>
      </c>
      <c r="G14">
        <v>30360528</v>
      </c>
      <c r="H14" t="s">
        <v>37</v>
      </c>
      <c r="I14" t="s">
        <v>38</v>
      </c>
      <c r="J14" t="s">
        <v>39</v>
      </c>
      <c r="K14">
        <v>5885</v>
      </c>
      <c r="L14" s="2" t="b">
        <f>TRUE()</f>
        <v>1</v>
      </c>
      <c r="M14" s="3" t="s">
        <v>89</v>
      </c>
      <c r="N14" t="s">
        <v>41</v>
      </c>
      <c r="O14" t="s">
        <v>90</v>
      </c>
      <c r="P14" t="s">
        <v>91</v>
      </c>
      <c r="Q14">
        <v>1</v>
      </c>
      <c r="R14">
        <v>1000</v>
      </c>
      <c r="S14">
        <v>1000</v>
      </c>
      <c r="T14" s="5">
        <v>45760</v>
      </c>
      <c r="U14" s="6">
        <v>45761</v>
      </c>
      <c r="V14">
        <v>1</v>
      </c>
      <c r="W14" s="5">
        <v>45760</v>
      </c>
      <c r="X14" s="6">
        <v>45761</v>
      </c>
      <c r="Y14" s="1">
        <v>45901</v>
      </c>
      <c r="Z14">
        <v>1000</v>
      </c>
      <c r="AA14" t="s">
        <v>46</v>
      </c>
      <c r="AB14" t="s">
        <v>72</v>
      </c>
      <c r="AC14" t="s">
        <v>94</v>
      </c>
      <c r="AD14" t="s">
        <v>73</v>
      </c>
      <c r="AE14" t="s">
        <v>95</v>
      </c>
      <c r="AF14" t="s">
        <v>51</v>
      </c>
    </row>
    <row r="15" ht="15" customHeight="1" spans="1:32" x14ac:dyDescent="0.25">
      <c r="A15" t="s">
        <v>32</v>
      </c>
      <c r="B15" t="s">
        <v>33</v>
      </c>
      <c r="C15" t="s">
        <v>57</v>
      </c>
      <c r="D15" t="s">
        <v>58</v>
      </c>
      <c r="E15" t="s">
        <v>36</v>
      </c>
      <c r="F15" s="1">
        <v>25437</v>
      </c>
      <c r="G15">
        <v>30360528</v>
      </c>
      <c r="H15" t="s">
        <v>37</v>
      </c>
      <c r="I15" t="s">
        <v>38</v>
      </c>
      <c r="J15" t="s">
        <v>39</v>
      </c>
      <c r="K15">
        <v>5885</v>
      </c>
      <c r="L15" s="2" t="b">
        <f>TRUE()</f>
        <v>1</v>
      </c>
      <c r="M15" s="3" t="s">
        <v>89</v>
      </c>
      <c r="N15" t="s">
        <v>41</v>
      </c>
      <c r="O15" t="s">
        <v>90</v>
      </c>
      <c r="P15" t="s">
        <v>91</v>
      </c>
      <c r="Q15">
        <v>1</v>
      </c>
      <c r="R15">
        <v>1000</v>
      </c>
      <c r="S15">
        <v>1000</v>
      </c>
      <c r="T15" s="5">
        <v>45760</v>
      </c>
      <c r="U15" s="6">
        <v>45761</v>
      </c>
      <c r="V15">
        <v>1</v>
      </c>
      <c r="W15" s="5">
        <v>45760</v>
      </c>
      <c r="X15" s="6">
        <v>45761</v>
      </c>
      <c r="Y15" s="1">
        <v>45901</v>
      </c>
      <c r="Z15">
        <v>1000</v>
      </c>
      <c r="AA15" t="s">
        <v>46</v>
      </c>
      <c r="AB15" t="s">
        <v>72</v>
      </c>
      <c r="AC15" t="s">
        <v>96</v>
      </c>
      <c r="AD15" t="s">
        <v>73</v>
      </c>
      <c r="AE15" t="s">
        <v>97</v>
      </c>
      <c r="AF15" t="s">
        <v>51</v>
      </c>
    </row>
    <row r="16" ht="15" customHeight="1" spans="1:32" x14ac:dyDescent="0.25">
      <c r="A16" t="s">
        <v>32</v>
      </c>
      <c r="B16" t="s">
        <v>33</v>
      </c>
      <c r="C16" t="s">
        <v>61</v>
      </c>
      <c r="D16" t="s">
        <v>53</v>
      </c>
      <c r="E16" t="s">
        <v>36</v>
      </c>
      <c r="F16" s="1">
        <v>43634</v>
      </c>
      <c r="G16">
        <v>30360528</v>
      </c>
      <c r="H16" t="s">
        <v>37</v>
      </c>
      <c r="I16" t="s">
        <v>38</v>
      </c>
      <c r="J16" t="s">
        <v>39</v>
      </c>
      <c r="K16">
        <v>5885</v>
      </c>
      <c r="L16" s="2" t="b">
        <f>TRUE()</f>
        <v>1</v>
      </c>
      <c r="M16" s="3" t="s">
        <v>89</v>
      </c>
      <c r="N16" t="s">
        <v>41</v>
      </c>
      <c r="O16" t="s">
        <v>90</v>
      </c>
      <c r="P16" t="s">
        <v>91</v>
      </c>
      <c r="Q16">
        <v>1</v>
      </c>
      <c r="R16">
        <v>1000</v>
      </c>
      <c r="S16">
        <v>1000</v>
      </c>
      <c r="T16" s="5">
        <v>45760</v>
      </c>
      <c r="U16" s="6">
        <v>45761</v>
      </c>
      <c r="V16">
        <v>1</v>
      </c>
      <c r="W16" s="5">
        <v>45760</v>
      </c>
      <c r="X16" s="6">
        <v>45761</v>
      </c>
      <c r="Y16" s="1">
        <v>45901</v>
      </c>
      <c r="Z16">
        <v>1000</v>
      </c>
      <c r="AA16" t="s">
        <v>46</v>
      </c>
      <c r="AB16" t="s">
        <v>47</v>
      </c>
      <c r="AC16" t="s">
        <v>98</v>
      </c>
      <c r="AD16" t="s">
        <v>99</v>
      </c>
      <c r="AE16" t="s">
        <v>50</v>
      </c>
      <c r="AF16" t="s">
        <v>51</v>
      </c>
    </row>
    <row r="17" ht="15" customHeight="1" spans="1:32" x14ac:dyDescent="0.25">
      <c r="A17" t="s">
        <v>32</v>
      </c>
      <c r="B17" t="s">
        <v>33</v>
      </c>
      <c r="C17" t="s">
        <v>64</v>
      </c>
      <c r="D17" t="s">
        <v>53</v>
      </c>
      <c r="E17" t="s">
        <v>54</v>
      </c>
      <c r="F17" s="1">
        <v>24659</v>
      </c>
      <c r="G17">
        <v>30360528</v>
      </c>
      <c r="H17" t="s">
        <v>37</v>
      </c>
      <c r="I17" t="s">
        <v>38</v>
      </c>
      <c r="J17" t="s">
        <v>39</v>
      </c>
      <c r="K17">
        <v>5885</v>
      </c>
      <c r="L17" s="2" t="b">
        <f>TRUE()</f>
        <v>1</v>
      </c>
      <c r="M17" s="3" t="s">
        <v>89</v>
      </c>
      <c r="N17" t="s">
        <v>41</v>
      </c>
      <c r="O17" t="s">
        <v>90</v>
      </c>
      <c r="P17" t="s">
        <v>91</v>
      </c>
      <c r="Q17">
        <v>1</v>
      </c>
      <c r="R17">
        <v>1000</v>
      </c>
      <c r="S17">
        <v>1000</v>
      </c>
      <c r="T17" s="5">
        <v>45760</v>
      </c>
      <c r="U17" s="6">
        <v>45761</v>
      </c>
      <c r="V17">
        <v>1</v>
      </c>
      <c r="W17" s="5">
        <v>45760</v>
      </c>
      <c r="X17" s="6">
        <v>45761</v>
      </c>
      <c r="Y17" s="1">
        <v>45901</v>
      </c>
      <c r="Z17">
        <v>1000</v>
      </c>
      <c r="AA17" t="s">
        <v>46</v>
      </c>
      <c r="AB17" t="s">
        <v>72</v>
      </c>
      <c r="AC17" t="s">
        <v>100</v>
      </c>
      <c r="AD17" t="s">
        <v>73</v>
      </c>
      <c r="AE17" t="s">
        <v>101</v>
      </c>
      <c r="AF17" t="s">
        <v>51</v>
      </c>
    </row>
    <row r="18" ht="15" customHeight="1" spans="1:32" x14ac:dyDescent="0.25">
      <c r="A18" t="s">
        <v>32</v>
      </c>
      <c r="B18" t="s">
        <v>33</v>
      </c>
      <c r="C18" t="s">
        <v>67</v>
      </c>
      <c r="D18" t="s">
        <v>68</v>
      </c>
      <c r="E18" t="s">
        <v>36</v>
      </c>
      <c r="F18" s="1">
        <v>31376</v>
      </c>
      <c r="G18">
        <v>30360528</v>
      </c>
      <c r="H18" t="s">
        <v>37</v>
      </c>
      <c r="I18" t="s">
        <v>38</v>
      </c>
      <c r="J18" t="s">
        <v>39</v>
      </c>
      <c r="K18">
        <v>5885</v>
      </c>
      <c r="L18" s="2" t="b">
        <f>TRUE()</f>
        <v>1</v>
      </c>
      <c r="M18" s="3" t="s">
        <v>89</v>
      </c>
      <c r="N18" t="s">
        <v>41</v>
      </c>
      <c r="O18" t="s">
        <v>90</v>
      </c>
      <c r="P18" t="s">
        <v>91</v>
      </c>
      <c r="Q18">
        <v>1</v>
      </c>
      <c r="R18">
        <v>1000</v>
      </c>
      <c r="S18">
        <v>1000</v>
      </c>
      <c r="T18" s="5">
        <v>45760</v>
      </c>
      <c r="U18" s="6">
        <v>45761</v>
      </c>
      <c r="V18">
        <v>1</v>
      </c>
      <c r="W18" s="5">
        <v>45760</v>
      </c>
      <c r="X18" s="6">
        <v>45761</v>
      </c>
      <c r="Y18" s="1">
        <v>45901</v>
      </c>
      <c r="Z18">
        <v>1000</v>
      </c>
      <c r="AA18" t="s">
        <v>46</v>
      </c>
      <c r="AB18" t="s">
        <v>47</v>
      </c>
      <c r="AC18" t="s">
        <v>102</v>
      </c>
      <c r="AD18" t="s">
        <v>103</v>
      </c>
      <c r="AE18" t="s">
        <v>50</v>
      </c>
      <c r="AF18" t="s">
        <v>51</v>
      </c>
    </row>
    <row r="19" ht="15" customHeight="1" spans="1:32" x14ac:dyDescent="0.25">
      <c r="A19" t="s">
        <v>32</v>
      </c>
      <c r="B19" t="s">
        <v>33</v>
      </c>
      <c r="C19" t="s">
        <v>71</v>
      </c>
      <c r="D19" t="s">
        <v>68</v>
      </c>
      <c r="E19" t="s">
        <v>36</v>
      </c>
      <c r="F19" s="1">
        <v>34294</v>
      </c>
      <c r="G19">
        <v>30360528</v>
      </c>
      <c r="H19" t="s">
        <v>37</v>
      </c>
      <c r="I19" t="s">
        <v>38</v>
      </c>
      <c r="J19" t="s">
        <v>39</v>
      </c>
      <c r="K19">
        <v>5885</v>
      </c>
      <c r="L19" s="2" t="b">
        <f>TRUE()</f>
        <v>1</v>
      </c>
      <c r="M19" s="3" t="s">
        <v>89</v>
      </c>
      <c r="N19" t="s">
        <v>41</v>
      </c>
      <c r="O19" t="s">
        <v>90</v>
      </c>
      <c r="P19" t="s">
        <v>91</v>
      </c>
      <c r="Q19">
        <v>1</v>
      </c>
      <c r="R19">
        <v>1000</v>
      </c>
      <c r="S19">
        <v>1000</v>
      </c>
      <c r="T19" s="5">
        <v>45760</v>
      </c>
      <c r="U19" s="6">
        <v>45761</v>
      </c>
      <c r="V19">
        <v>1</v>
      </c>
      <c r="W19" s="5">
        <v>45760</v>
      </c>
      <c r="X19" s="6">
        <v>45761</v>
      </c>
      <c r="Y19" s="1">
        <v>45901</v>
      </c>
      <c r="Z19">
        <v>1000</v>
      </c>
      <c r="AA19" t="s">
        <v>46</v>
      </c>
      <c r="AB19" t="s">
        <v>47</v>
      </c>
      <c r="AC19" t="s">
        <v>104</v>
      </c>
      <c r="AD19" t="s">
        <v>105</v>
      </c>
      <c r="AE19" t="s">
        <v>50</v>
      </c>
      <c r="AF19" t="s">
        <v>51</v>
      </c>
    </row>
    <row r="20" ht="15" customHeight="1" spans="1:32" x14ac:dyDescent="0.25">
      <c r="A20" t="s">
        <v>32</v>
      </c>
      <c r="B20" t="s">
        <v>33</v>
      </c>
      <c r="C20" t="s">
        <v>74</v>
      </c>
      <c r="D20" t="s">
        <v>75</v>
      </c>
      <c r="E20" t="s">
        <v>36</v>
      </c>
      <c r="F20" s="1">
        <v>34700</v>
      </c>
      <c r="G20">
        <v>30360528</v>
      </c>
      <c r="H20" t="s">
        <v>37</v>
      </c>
      <c r="I20" t="s">
        <v>38</v>
      </c>
      <c r="J20" t="s">
        <v>39</v>
      </c>
      <c r="K20">
        <v>5885</v>
      </c>
      <c r="L20" s="2" t="b">
        <f>TRUE()</f>
        <v>1</v>
      </c>
      <c r="M20" s="3" t="s">
        <v>89</v>
      </c>
      <c r="N20" t="s">
        <v>41</v>
      </c>
      <c r="O20" t="s">
        <v>90</v>
      </c>
      <c r="P20" t="s">
        <v>91</v>
      </c>
      <c r="Q20">
        <v>1</v>
      </c>
      <c r="R20">
        <v>1000</v>
      </c>
      <c r="S20">
        <v>1000</v>
      </c>
      <c r="T20" s="5">
        <v>45760</v>
      </c>
      <c r="U20" s="6">
        <v>45761</v>
      </c>
      <c r="V20">
        <v>1</v>
      </c>
      <c r="W20" s="5">
        <v>45760</v>
      </c>
      <c r="X20" s="6">
        <v>45761</v>
      </c>
      <c r="Y20" s="1">
        <v>45901</v>
      </c>
      <c r="Z20">
        <v>1000</v>
      </c>
      <c r="AA20" t="s">
        <v>46</v>
      </c>
      <c r="AB20" t="s">
        <v>72</v>
      </c>
      <c r="AC20" t="s">
        <v>106</v>
      </c>
      <c r="AD20" t="s">
        <v>73</v>
      </c>
      <c r="AE20" t="s">
        <v>107</v>
      </c>
      <c r="AF20" t="s">
        <v>51</v>
      </c>
    </row>
    <row r="21" ht="15" customHeight="1" spans="1:32" x14ac:dyDescent="0.25">
      <c r="A21" t="s">
        <v>32</v>
      </c>
      <c r="B21" t="s">
        <v>33</v>
      </c>
      <c r="C21" t="s">
        <v>78</v>
      </c>
      <c r="D21" t="s">
        <v>79</v>
      </c>
      <c r="E21" t="s">
        <v>36</v>
      </c>
      <c r="F21" s="1">
        <v>35074</v>
      </c>
      <c r="G21">
        <v>30360528</v>
      </c>
      <c r="H21" t="s">
        <v>37</v>
      </c>
      <c r="I21" t="s">
        <v>38</v>
      </c>
      <c r="J21" t="s">
        <v>39</v>
      </c>
      <c r="K21">
        <v>5885</v>
      </c>
      <c r="L21" s="2" t="b">
        <f>TRUE()</f>
        <v>1</v>
      </c>
      <c r="M21" s="3" t="s">
        <v>89</v>
      </c>
      <c r="N21" t="s">
        <v>41</v>
      </c>
      <c r="O21" t="s">
        <v>90</v>
      </c>
      <c r="P21" t="s">
        <v>91</v>
      </c>
      <c r="Q21">
        <v>1</v>
      </c>
      <c r="R21">
        <v>1000</v>
      </c>
      <c r="S21">
        <v>1000</v>
      </c>
      <c r="T21" s="5">
        <v>45760</v>
      </c>
      <c r="U21" s="6">
        <v>45761</v>
      </c>
      <c r="V21">
        <v>1</v>
      </c>
      <c r="W21" s="5">
        <v>45760</v>
      </c>
      <c r="X21" s="6">
        <v>45761</v>
      </c>
      <c r="Y21" s="1">
        <v>45901</v>
      </c>
      <c r="Z21">
        <v>1000</v>
      </c>
      <c r="AA21" t="s">
        <v>46</v>
      </c>
      <c r="AB21" t="s">
        <v>47</v>
      </c>
      <c r="AC21" t="s">
        <v>108</v>
      </c>
      <c r="AD21" t="s">
        <v>109</v>
      </c>
      <c r="AE21" t="s">
        <v>50</v>
      </c>
      <c r="AF21" t="s">
        <v>51</v>
      </c>
    </row>
    <row r="22" ht="15" customHeight="1" spans="1:32" x14ac:dyDescent="0.25">
      <c r="A22" t="s">
        <v>32</v>
      </c>
      <c r="B22" t="s">
        <v>33</v>
      </c>
      <c r="C22" t="s">
        <v>82</v>
      </c>
      <c r="D22" t="s">
        <v>83</v>
      </c>
      <c r="E22" t="s">
        <v>36</v>
      </c>
      <c r="F22" s="1">
        <v>36514</v>
      </c>
      <c r="G22">
        <v>30360528</v>
      </c>
      <c r="H22" t="s">
        <v>37</v>
      </c>
      <c r="I22" t="s">
        <v>38</v>
      </c>
      <c r="J22" t="s">
        <v>39</v>
      </c>
      <c r="K22">
        <v>5885</v>
      </c>
      <c r="L22" s="2" t="b">
        <f>TRUE()</f>
        <v>1</v>
      </c>
      <c r="M22" s="3" t="s">
        <v>89</v>
      </c>
      <c r="N22" t="s">
        <v>41</v>
      </c>
      <c r="O22" t="s">
        <v>90</v>
      </c>
      <c r="P22" t="s">
        <v>91</v>
      </c>
      <c r="Q22">
        <v>1</v>
      </c>
      <c r="R22">
        <v>1000</v>
      </c>
      <c r="S22">
        <v>1000</v>
      </c>
      <c r="T22" s="5">
        <v>45760</v>
      </c>
      <c r="U22" s="6">
        <v>45761</v>
      </c>
      <c r="V22">
        <v>1</v>
      </c>
      <c r="W22" s="5">
        <v>45760</v>
      </c>
      <c r="X22" s="6">
        <v>45761</v>
      </c>
      <c r="Y22" s="1">
        <v>45901</v>
      </c>
      <c r="Z22">
        <v>1000</v>
      </c>
      <c r="AA22" t="s">
        <v>46</v>
      </c>
      <c r="AB22" t="s">
        <v>47</v>
      </c>
      <c r="AC22" t="s">
        <v>110</v>
      </c>
      <c r="AD22" t="s">
        <v>111</v>
      </c>
      <c r="AE22" t="s">
        <v>50</v>
      </c>
      <c r="AF22" t="s">
        <v>112</v>
      </c>
    </row>
    <row r="23" ht="15" customHeight="1" spans="1:32" x14ac:dyDescent="0.25">
      <c r="A23" t="s">
        <v>32</v>
      </c>
      <c r="B23" t="s">
        <v>33</v>
      </c>
      <c r="C23" t="s">
        <v>86</v>
      </c>
      <c r="D23" t="s">
        <v>53</v>
      </c>
      <c r="E23" t="s">
        <v>36</v>
      </c>
      <c r="F23" s="1">
        <v>45589</v>
      </c>
      <c r="G23">
        <v>30360528</v>
      </c>
      <c r="H23" t="s">
        <v>37</v>
      </c>
      <c r="I23" t="s">
        <v>38</v>
      </c>
      <c r="J23" t="s">
        <v>39</v>
      </c>
      <c r="K23">
        <v>5885</v>
      </c>
      <c r="L23" s="2" t="b">
        <f>TRUE()</f>
        <v>1</v>
      </c>
      <c r="M23" s="3" t="s">
        <v>89</v>
      </c>
      <c r="N23" t="s">
        <v>41</v>
      </c>
      <c r="O23" t="s">
        <v>90</v>
      </c>
      <c r="P23" t="s">
        <v>91</v>
      </c>
      <c r="Q23">
        <v>1</v>
      </c>
      <c r="R23">
        <v>1000</v>
      </c>
      <c r="S23">
        <v>1000</v>
      </c>
      <c r="T23" s="5">
        <v>45760</v>
      </c>
      <c r="U23" s="6">
        <v>45761</v>
      </c>
      <c r="V23">
        <v>1</v>
      </c>
      <c r="W23" s="5">
        <v>45760</v>
      </c>
      <c r="X23" s="6">
        <v>45761</v>
      </c>
      <c r="Y23" s="1">
        <v>45901</v>
      </c>
      <c r="Z23">
        <v>1000</v>
      </c>
      <c r="AA23" t="s">
        <v>46</v>
      </c>
      <c r="AB23" t="s">
        <v>72</v>
      </c>
      <c r="AC23" t="s">
        <v>113</v>
      </c>
      <c r="AD23" t="s">
        <v>73</v>
      </c>
      <c r="AE23" t="s">
        <v>114</v>
      </c>
      <c r="AF23" t="s">
        <v>112</v>
      </c>
    </row>
  </sheetData>
  <pageMargins left="0.747916666666667" right="0.747916666666667" top="0.984027777777778" bottom="0.984027777777778"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Gertrude Muchibi</cp:lastModifiedBy>
  <cp:revision>6</cp:revision>
  <dcterms:created xsi:type="dcterms:W3CDTF">2025-10-02T13:19:41Z</dcterms:created>
  <dcterms:modified xsi:type="dcterms:W3CDTF">2025-10-02T13:19:41Z</dcterms:modified>
</cp:coreProperties>
</file>